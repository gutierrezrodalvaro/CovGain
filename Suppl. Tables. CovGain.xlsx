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ftware-Instalado\Alvaro\Bioinf P. Olavide\Máster\TFM\Documento Final\"/>
    </mc:Choice>
  </mc:AlternateContent>
  <xr:revisionPtr revIDLastSave="0" documentId="13_ncr:1_{9CD836E8-7060-4065-B9B5-6F4470FFF89F}" xr6:coauthVersionLast="47" xr6:coauthVersionMax="47" xr10:uidLastSave="{00000000-0000-0000-0000-000000000000}"/>
  <bookViews>
    <workbookView xWindow="20370" yWindow="-8895" windowWidth="21840" windowHeight="13020" firstSheet="4" activeTab="7" xr2:uid="{BA78DA4C-1359-49B2-ABA8-9628BDDC8250}"/>
  </bookViews>
  <sheets>
    <sheet name="Supplementary Table 1" sheetId="1" r:id="rId1"/>
    <sheet name="Supplementary Table 2" sheetId="2" r:id="rId2"/>
    <sheet name="Supplementary Table 3" sheetId="3" r:id="rId3"/>
    <sheet name="Supplementary Table 4" sheetId="5" r:id="rId4"/>
    <sheet name="Supplementary Table 5" sheetId="4" r:id="rId5"/>
    <sheet name="Supplementary Table 6" sheetId="8" r:id="rId6"/>
    <sheet name="Supplmentary Table 7" sheetId="6" r:id="rId7"/>
    <sheet name="Supplmentary Table 8" sheetId="7" r:id="rId8"/>
  </sheets>
  <definedNames>
    <definedName name="_xlnm._FilterDatabase" localSheetId="7" hidden="1">'Supplmentary Table 8'!$A$1:$F$31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07" i="3" l="1"/>
  <c r="F108" i="3"/>
  <c r="F109" i="3"/>
  <c r="F110" i="3"/>
  <c r="F111" i="3"/>
  <c r="F112" i="3"/>
  <c r="F113" i="3"/>
  <c r="F121" i="3"/>
  <c r="F122" i="3"/>
  <c r="F123" i="3"/>
  <c r="F124" i="3"/>
  <c r="F125" i="3"/>
  <c r="F126" i="3"/>
  <c r="F127" i="3"/>
  <c r="F100" i="3" l="1"/>
  <c r="F101" i="3"/>
  <c r="F102" i="3"/>
  <c r="F103" i="3"/>
  <c r="F104" i="3"/>
  <c r="F105" i="3"/>
  <c r="F106" i="3"/>
  <c r="F36" i="3"/>
  <c r="F30" i="3"/>
  <c r="F31" i="3"/>
  <c r="F32" i="3"/>
  <c r="F33" i="3"/>
  <c r="F34" i="3"/>
  <c r="F35" i="3"/>
  <c r="F135" i="3"/>
  <c r="F136" i="3"/>
  <c r="F137" i="3"/>
  <c r="F138" i="3"/>
  <c r="F139" i="3"/>
  <c r="F140" i="3"/>
  <c r="F141" i="3"/>
  <c r="F65" i="3"/>
  <c r="F66" i="3"/>
  <c r="F67" i="3"/>
  <c r="F68" i="3"/>
  <c r="F69" i="3"/>
  <c r="F70" i="3"/>
  <c r="F71" i="3"/>
  <c r="F93" i="3"/>
  <c r="F94" i="3"/>
  <c r="F95" i="3"/>
  <c r="F96" i="3"/>
  <c r="F97" i="3"/>
  <c r="F98" i="3"/>
  <c r="F99" i="3"/>
  <c r="F23" i="3"/>
  <c r="F24" i="3"/>
  <c r="F25" i="3"/>
  <c r="F26" i="3"/>
  <c r="F27" i="3"/>
  <c r="F28" i="3"/>
  <c r="F29" i="3"/>
  <c r="F58" i="3"/>
  <c r="F59" i="3"/>
  <c r="F60" i="3"/>
  <c r="F61" i="3"/>
  <c r="F62" i="3"/>
  <c r="F63" i="3"/>
  <c r="F64" i="3"/>
  <c r="F86" i="3"/>
  <c r="F87" i="3"/>
  <c r="F88" i="3"/>
  <c r="F89" i="3"/>
  <c r="F90" i="3"/>
  <c r="F91" i="3"/>
  <c r="F92" i="3"/>
  <c r="F16" i="3"/>
  <c r="F17" i="3"/>
  <c r="F18" i="3"/>
  <c r="F19" i="3"/>
  <c r="F20" i="3"/>
  <c r="F21" i="3"/>
  <c r="F22" i="3"/>
  <c r="F51" i="3"/>
  <c r="F52" i="3"/>
  <c r="F53" i="3"/>
  <c r="F54" i="3"/>
  <c r="F55" i="3"/>
  <c r="F56" i="3"/>
  <c r="F57" i="3"/>
  <c r="F79" i="3"/>
  <c r="F80" i="3"/>
  <c r="F81" i="3"/>
  <c r="F82" i="3"/>
  <c r="F83" i="3"/>
  <c r="F84" i="3"/>
  <c r="F85" i="3"/>
  <c r="F114" i="3"/>
  <c r="F115" i="3"/>
  <c r="F116" i="3"/>
  <c r="F117" i="3"/>
  <c r="F118" i="3"/>
  <c r="F119" i="3"/>
  <c r="F120" i="3"/>
  <c r="F44" i="3"/>
  <c r="F45" i="3"/>
  <c r="F46" i="3"/>
  <c r="F47" i="3"/>
  <c r="F48" i="3"/>
  <c r="F49" i="3"/>
  <c r="F50" i="3"/>
  <c r="F72" i="3"/>
  <c r="F73" i="3"/>
  <c r="F74" i="3"/>
  <c r="F75" i="3"/>
  <c r="F76" i="3"/>
  <c r="F77" i="3"/>
  <c r="F78" i="3"/>
  <c r="F134" i="3"/>
  <c r="F133" i="3"/>
  <c r="F132" i="3"/>
  <c r="F131" i="3"/>
  <c r="F130" i="3"/>
  <c r="F129" i="3"/>
  <c r="F128" i="3"/>
  <c r="F43" i="3"/>
  <c r="F42" i="3"/>
  <c r="F41" i="3"/>
  <c r="F40" i="3"/>
  <c r="F39" i="3"/>
  <c r="F38" i="3"/>
  <c r="F37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C53" i="2"/>
  <c r="D53" i="2"/>
  <c r="E53" i="2"/>
  <c r="F53" i="2"/>
  <c r="B53" i="2"/>
  <c r="F52" i="2"/>
  <c r="D52" i="2"/>
  <c r="C52" i="2"/>
  <c r="B52" i="2"/>
  <c r="I37" i="1"/>
  <c r="H40" i="1"/>
  <c r="G40" i="1"/>
  <c r="F40" i="1"/>
  <c r="E40" i="1"/>
  <c r="D40" i="1"/>
  <c r="H39" i="1"/>
  <c r="G39" i="1"/>
  <c r="F39" i="1"/>
  <c r="E39" i="1"/>
  <c r="D39" i="1"/>
  <c r="C38" i="1"/>
  <c r="B38" i="1"/>
  <c r="C37" i="1"/>
  <c r="B37" i="1"/>
  <c r="C36" i="1"/>
  <c r="B36" i="1"/>
  <c r="I35" i="1"/>
  <c r="C35" i="1"/>
  <c r="B35" i="1"/>
  <c r="B34" i="1"/>
  <c r="I33" i="1"/>
  <c r="C33" i="1"/>
  <c r="B33" i="1"/>
  <c r="C32" i="1"/>
  <c r="B32" i="1"/>
  <c r="I31" i="1"/>
  <c r="C31" i="1"/>
  <c r="B31" i="1"/>
  <c r="C30" i="1"/>
  <c r="B30" i="1"/>
  <c r="I29" i="1"/>
  <c r="C29" i="1"/>
  <c r="B29" i="1"/>
  <c r="C28" i="1"/>
  <c r="B28" i="1"/>
  <c r="I27" i="1"/>
  <c r="C27" i="1"/>
  <c r="B27" i="1"/>
  <c r="C26" i="1"/>
  <c r="B26" i="1"/>
  <c r="I25" i="1"/>
  <c r="C25" i="1"/>
  <c r="B25" i="1"/>
  <c r="F19" i="1"/>
  <c r="E19" i="1"/>
  <c r="D19" i="1"/>
  <c r="C19" i="1"/>
  <c r="B19" i="1"/>
  <c r="F18" i="1"/>
  <c r="E18" i="1"/>
  <c r="D18" i="1"/>
  <c r="C18" i="1"/>
  <c r="B18" i="1"/>
  <c r="B39" i="1" l="1"/>
  <c r="C39" i="1"/>
  <c r="B40" i="1"/>
  <c r="C4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492573-44FC-4376-AEA9-7BF710614A00}" keepAlive="1" name="Consulta - Table_1_Anova_Results_Figure_1" description="Conexión a la consulta 'Table_1_Anova_Results_Figure_1' en el libro." type="5" refreshedVersion="0" background="1">
    <dbPr connection="Provider=Microsoft.Mashup.OleDb.1;Data Source=$Workbook$;Location=Table_1_Anova_Results_Figure_1;Extended Properties=&quot;&quot;" command="SELECT * FROM [Table_1_Anova_Results_Figure_1]"/>
  </connection>
  <connection id="2" xr16:uid="{0EDD4570-4E13-45EE-A800-DCF87C8057AB}" keepAlive="1" name="Consulta - Table_2_Paired_Results_Figure_1" description="Conexión a la consulta 'Table_2_Paired_Results_Figure_1' en el libro." type="5" refreshedVersion="0" background="1">
    <dbPr connection="Provider=Microsoft.Mashup.OleDb.1;Data Source=$Workbook$;Location=Table_2_Paired_Results_Figure_1;Extended Properties=&quot;&quot;" command="SELECT * FROM [Table_2_Paired_Results_Figure_1]"/>
  </connection>
</connections>
</file>

<file path=xl/sharedStrings.xml><?xml version="1.0" encoding="utf-8"?>
<sst xmlns="http://schemas.openxmlformats.org/spreadsheetml/2006/main" count="895" uniqueCount="150">
  <si>
    <t>Sample ID</t>
  </si>
  <si>
    <t># Reads</t>
  </si>
  <si>
    <t>Trimming % (quality)</t>
  </si>
  <si>
    <t>Trimming % (adaptor)</t>
  </si>
  <si>
    <t>Alignment % (v2014)</t>
  </si>
  <si>
    <t>duplicated alignments removed</t>
  </si>
  <si>
    <t>Conversion efficiency % (unmeth control, lambda)</t>
  </si>
  <si>
    <t>Conversion efficiency % (meth control, puc19)</t>
  </si>
  <si>
    <t>Conversion efficiency %</t>
  </si>
  <si>
    <t>L10-EM_R1</t>
  </si>
  <si>
    <t>L10-EM_R2</t>
  </si>
  <si>
    <t>L11-EM_R1</t>
  </si>
  <si>
    <t>L11-EM_R2</t>
  </si>
  <si>
    <t>L12-EM_R1</t>
  </si>
  <si>
    <t>L12-EM_R2</t>
  </si>
  <si>
    <t>L2-AT_R1</t>
  </si>
  <si>
    <t>L2-AT_R2</t>
  </si>
  <si>
    <t>L3-AT_R1</t>
  </si>
  <si>
    <t>L3-AT_R2</t>
  </si>
  <si>
    <t>L4-AT_R1</t>
  </si>
  <si>
    <t>L4-AT_R2</t>
  </si>
  <si>
    <t>L9-EM_R1</t>
  </si>
  <si>
    <t>L9-EM_R2</t>
  </si>
  <si>
    <t>Average</t>
  </si>
  <si>
    <t>SD</t>
  </si>
  <si>
    <t>FS63760402_R1</t>
  </si>
  <si>
    <t>FS63760402_R2</t>
  </si>
  <si>
    <t>FS63760405_R1</t>
  </si>
  <si>
    <t>FS63760405_R2</t>
  </si>
  <si>
    <t>FS63760421_R1</t>
  </si>
  <si>
    <t>FS63760421_R2</t>
  </si>
  <si>
    <t>FS63760448_R1</t>
  </si>
  <si>
    <t>FS63760448_R2</t>
  </si>
  <si>
    <t>FS63761072_R1</t>
  </si>
  <si>
    <t>FS63761072_R2</t>
  </si>
  <si>
    <t>FS63761128_R1</t>
  </si>
  <si>
    <t>FS63761128_R2</t>
  </si>
  <si>
    <t>FS63760389_R1</t>
  </si>
  <si>
    <t>FS63760389_R2</t>
  </si>
  <si>
    <t>FS63760393_R1</t>
  </si>
  <si>
    <t>FS63760393_R2</t>
  </si>
  <si>
    <t>FS63760417_R1</t>
  </si>
  <si>
    <t>FS63760417_R2</t>
  </si>
  <si>
    <t>FS63760431_R1</t>
  </si>
  <si>
    <t>FS63760431_R2</t>
  </si>
  <si>
    <t>FS63760433_R1</t>
  </si>
  <si>
    <t>FS63760433_R2</t>
  </si>
  <si>
    <t>FS63760439_R1</t>
  </si>
  <si>
    <t>FS63760439_R2</t>
  </si>
  <si>
    <t>FS63760443_R1</t>
  </si>
  <si>
    <t>FS63760443_R2</t>
  </si>
  <si>
    <t>FS63760464_R1</t>
  </si>
  <si>
    <t>FS63760464_R2</t>
  </si>
  <si>
    <t>FS63761055_R1</t>
  </si>
  <si>
    <t>FS63761055_R2</t>
  </si>
  <si>
    <t>FS63761056_R1</t>
  </si>
  <si>
    <t>FS63761056_R2</t>
  </si>
  <si>
    <t>FS63761079_R1</t>
  </si>
  <si>
    <t>FS63761079_R2</t>
  </si>
  <si>
    <t>FS63761087_R1</t>
  </si>
  <si>
    <t>FS63761087_R2</t>
  </si>
  <si>
    <t>FS63761097_R1</t>
  </si>
  <si>
    <t>FS63761097_R2</t>
  </si>
  <si>
    <t>FS63761112_R1</t>
  </si>
  <si>
    <t>FS63761112_R2</t>
  </si>
  <si>
    <t>FS63761134_R1</t>
  </si>
  <si>
    <t>FS63761134_R2</t>
  </si>
  <si>
    <t>FS63761135_R1</t>
  </si>
  <si>
    <t>FS63761135_R2</t>
  </si>
  <si>
    <t>FS63761137_R1</t>
  </si>
  <si>
    <t>FS63761137_R2</t>
  </si>
  <si>
    <t>FS63761142_R1</t>
  </si>
  <si>
    <t>FS63761142_R2</t>
  </si>
  <si>
    <t>Dataset B.Sequencing at 30x</t>
  </si>
  <si>
    <t>Dataset A.Sequencing at 15x</t>
  </si>
  <si>
    <t>Dataset A.Sequencing at 30x</t>
  </si>
  <si>
    <t>Sample</t>
  </si>
  <si>
    <t>Coverage</t>
  </si>
  <si>
    <t>CovFilter</t>
  </si>
  <si>
    <t>Method</t>
  </si>
  <si>
    <t>Unique CpGs 5x cov (CpG context)</t>
  </si>
  <si>
    <t>% CpG of the total in the genome</t>
  </si>
  <si>
    <t>MethMean</t>
  </si>
  <si>
    <t>CovMean</t>
  </si>
  <si>
    <t>L10-EM</t>
  </si>
  <si>
    <t>S</t>
  </si>
  <si>
    <t>L11-EM</t>
  </si>
  <si>
    <t>L12-EM</t>
  </si>
  <si>
    <t>L2-AT</t>
  </si>
  <si>
    <t>L3-AT</t>
  </si>
  <si>
    <t>L4-AT</t>
  </si>
  <si>
    <t>L9-EM</t>
  </si>
  <si>
    <t>C</t>
  </si>
  <si>
    <t>Common CpGs</t>
  </si>
  <si>
    <t>Seq_Depth</t>
  </si>
  <si>
    <t>Variable</t>
  </si>
  <si>
    <t>p_value</t>
  </si>
  <si>
    <t>2x</t>
  </si>
  <si>
    <t>5x</t>
  </si>
  <si>
    <t>&lt; 2.2e-16</t>
  </si>
  <si>
    <t>10x</t>
  </si>
  <si>
    <t>15x</t>
  </si>
  <si>
    <t>30x</t>
  </si>
  <si>
    <t>ANOVA results of Data ploted in Figure 1</t>
  </si>
  <si>
    <t>Comparison</t>
  </si>
  <si>
    <t>S_min10-S_min5</t>
  </si>
  <si>
    <t>C_min5-S_min5</t>
  </si>
  <si>
    <t>C_min10-S_min5</t>
  </si>
  <si>
    <t>C_min5-S_min10</t>
  </si>
  <si>
    <t>C_min10-S_min10</t>
  </si>
  <si>
    <t>C_min10-C_min5</t>
  </si>
  <si>
    <t>Global Mean Methylation</t>
  </si>
  <si>
    <t>Mean Effective Cov</t>
  </si>
  <si>
    <t>Paired tests Tukey HSD Data Figure 1</t>
  </si>
  <si>
    <t>Mean Global Methylation</t>
  </si>
  <si>
    <t>Mean Effective Coverage</t>
  </si>
  <si>
    <t>Region</t>
  </si>
  <si>
    <t>n</t>
  </si>
  <si>
    <t>Set</t>
  </si>
  <si>
    <t>Dataset</t>
  </si>
  <si>
    <t>Percentage</t>
  </si>
  <si>
    <t>Promoter</t>
  </si>
  <si>
    <t>First Exon</t>
  </si>
  <si>
    <t>Rest of Exons</t>
  </si>
  <si>
    <t>Intron</t>
  </si>
  <si>
    <t>Intergenic</t>
  </si>
  <si>
    <t>CpG Island</t>
  </si>
  <si>
    <t>CpG Context</t>
  </si>
  <si>
    <t>CpG Shore</t>
  </si>
  <si>
    <t>CpG Shelf</t>
  </si>
  <si>
    <t>Open Sea</t>
  </si>
  <si>
    <t>Genomic feature</t>
  </si>
  <si>
    <t>C_15x</t>
  </si>
  <si>
    <t>C_30x</t>
  </si>
  <si>
    <t>S_30x</t>
  </si>
  <si>
    <t>DATASET A</t>
  </si>
  <si>
    <t>Dataset B</t>
  </si>
  <si>
    <t>Missing_data</t>
  </si>
  <si>
    <t>CpGs_common</t>
  </si>
  <si>
    <t>DMCs</t>
  </si>
  <si>
    <t>Hyper</t>
  </si>
  <si>
    <t>Hypo</t>
  </si>
  <si>
    <t>B</t>
  </si>
  <si>
    <t>Group</t>
  </si>
  <si>
    <t>A</t>
  </si>
  <si>
    <t>AT vs. EM</t>
  </si>
  <si>
    <t>S15x</t>
  </si>
  <si>
    <t>C15x</t>
  </si>
  <si>
    <t>S30x</t>
  </si>
  <si>
    <t>C30x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</si>
</sst>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00"/>
  </numFmts>
  <fonts count="7" x14ac:knownFonts="1">
    <font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8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0" xfId="0" applyNumberFormat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0" fontId="5" fillId="0" borderId="15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5" fillId="0" borderId="8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0" fillId="0" borderId="17" xfId="0" applyBorder="1" applyAlignment="1">
      <alignment horizontal="center"/>
    </xf>
    <xf numFmtId="0" fontId="0" fillId="0" borderId="20" xfId="0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9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1" xfId="0" applyBorder="1" applyAlignment="1">
      <alignment horizontal="center"/>
    </xf>
    <xf numFmtId="1" fontId="0" fillId="0" borderId="18" xfId="0" applyNumberFormat="1" applyBorder="1" applyAlignment="1">
      <alignment horizontal="center"/>
    </xf>
    <xf numFmtId="166" fontId="0" fillId="0" borderId="18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22" xfId="0" applyNumberForma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11" fontId="0" fillId="0" borderId="0" xfId="0" applyNumberFormat="1" applyAlignment="1">
      <alignment horizontal="center"/>
    </xf>
    <xf numFmtId="11" fontId="0" fillId="0" borderId="6" xfId="0" applyNumberFormat="1" applyBorder="1" applyAlignment="1">
      <alignment horizontal="center"/>
    </xf>
    <xf numFmtId="0" fontId="0" fillId="0" borderId="31" xfId="0" applyBorder="1" applyAlignment="1">
      <alignment horizontal="center"/>
    </xf>
    <xf numFmtId="0" fontId="5" fillId="0" borderId="0" xfId="0" applyFont="1" applyAlignment="1">
      <alignment horizontal="center"/>
    </xf>
    <xf numFmtId="11" fontId="0" fillId="0" borderId="20" xfId="0" applyNumberForma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8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8E5DC-19FF-41E9-9E14-E1062EAEFE5E}">
  <dimension ref="A1:N40"/>
  <sheetViews>
    <sheetView zoomScale="70" workbookViewId="0">
      <selection activeCell="H16" sqref="H16"/>
    </sheetView>
  </sheetViews>
  <sheetFormatPr baseColWidth="10" defaultRowHeight="15" x14ac:dyDescent="0.25"/>
  <cols>
    <col min="1" max="1" width="15.140625" style="1" customWidth="1"/>
    <col min="2" max="2" width="15.85546875" style="1" customWidth="1"/>
    <col min="3" max="3" width="14.7109375" style="1" customWidth="1"/>
    <col min="4" max="4" width="15.28515625" style="1" customWidth="1"/>
    <col min="5" max="5" width="15.7109375" style="1" customWidth="1"/>
    <col min="6" max="6" width="17.140625" style="1" customWidth="1"/>
    <col min="7" max="7" width="22.140625" style="1" customWidth="1"/>
    <col min="8" max="8" width="19.42578125" style="1" customWidth="1"/>
    <col min="9" max="9" width="22.85546875" style="1" customWidth="1"/>
    <col min="10" max="16384" width="11.42578125" style="1"/>
  </cols>
  <sheetData>
    <row r="1" spans="1:11" ht="29.25" thickBot="1" x14ac:dyDescent="0.5">
      <c r="A1" s="27" t="s">
        <v>74</v>
      </c>
      <c r="G1" s="21"/>
      <c r="H1" s="21"/>
      <c r="I1" s="21"/>
      <c r="J1" s="21"/>
      <c r="K1" s="21"/>
    </row>
    <row r="2" spans="1:11" ht="15" customHeight="1" x14ac:dyDescent="0.25">
      <c r="A2" s="64" t="s">
        <v>0</v>
      </c>
      <c r="B2" s="64" t="s">
        <v>1</v>
      </c>
      <c r="C2" s="64" t="s">
        <v>2</v>
      </c>
      <c r="D2" s="64" t="s">
        <v>3</v>
      </c>
      <c r="E2" s="64" t="s">
        <v>4</v>
      </c>
      <c r="F2" s="66" t="s">
        <v>5</v>
      </c>
      <c r="G2" s="7"/>
      <c r="H2" s="7"/>
      <c r="I2" s="7"/>
      <c r="J2" s="7"/>
      <c r="K2" s="7"/>
    </row>
    <row r="3" spans="1:11" ht="15.75" thickBot="1" x14ac:dyDescent="0.3">
      <c r="A3" s="65"/>
      <c r="B3" s="65"/>
      <c r="C3" s="65"/>
      <c r="D3" s="65"/>
      <c r="E3" s="65"/>
      <c r="F3" s="67"/>
      <c r="G3" s="7"/>
      <c r="H3" s="7"/>
      <c r="I3" s="7"/>
      <c r="J3" s="7"/>
      <c r="K3" s="7"/>
    </row>
    <row r="4" spans="1:11" x14ac:dyDescent="0.25">
      <c r="A4" s="28" t="s">
        <v>9</v>
      </c>
      <c r="B4" s="1">
        <v>32576687</v>
      </c>
      <c r="C4" s="1">
        <v>98.3</v>
      </c>
      <c r="D4" s="1">
        <v>97.4</v>
      </c>
      <c r="E4" s="1">
        <v>83.4</v>
      </c>
      <c r="F4" s="9">
        <v>11.55</v>
      </c>
      <c r="I4" s="8"/>
    </row>
    <row r="5" spans="1:11" x14ac:dyDescent="0.25">
      <c r="A5" s="28" t="s">
        <v>10</v>
      </c>
      <c r="B5" s="1">
        <v>32576687</v>
      </c>
      <c r="C5" s="1">
        <v>97</v>
      </c>
      <c r="D5" s="1">
        <v>96.2</v>
      </c>
      <c r="F5" s="9"/>
      <c r="I5" s="8"/>
    </row>
    <row r="6" spans="1:11" x14ac:dyDescent="0.25">
      <c r="A6" s="28" t="s">
        <v>11</v>
      </c>
      <c r="B6" s="1">
        <v>40624638</v>
      </c>
      <c r="C6" s="1">
        <v>98.3</v>
      </c>
      <c r="D6" s="1">
        <v>97.2</v>
      </c>
      <c r="E6" s="1">
        <v>81.5</v>
      </c>
      <c r="F6" s="9">
        <v>14.19</v>
      </c>
      <c r="I6" s="8"/>
    </row>
    <row r="7" spans="1:11" x14ac:dyDescent="0.25">
      <c r="A7" s="28" t="s">
        <v>12</v>
      </c>
      <c r="B7" s="1">
        <v>40624638</v>
      </c>
      <c r="C7" s="1">
        <v>97.4</v>
      </c>
      <c r="D7" s="1">
        <v>96.5</v>
      </c>
      <c r="F7" s="9"/>
      <c r="I7" s="8"/>
    </row>
    <row r="8" spans="1:11" x14ac:dyDescent="0.25">
      <c r="A8" s="28" t="s">
        <v>13</v>
      </c>
      <c r="B8" s="1">
        <v>40153808</v>
      </c>
      <c r="C8" s="1">
        <v>98.3</v>
      </c>
      <c r="D8" s="1">
        <v>97.3</v>
      </c>
      <c r="E8" s="1">
        <v>81.8</v>
      </c>
      <c r="F8" s="9">
        <v>12.38</v>
      </c>
      <c r="I8" s="8"/>
    </row>
    <row r="9" spans="1:11" x14ac:dyDescent="0.25">
      <c r="A9" s="28" t="s">
        <v>14</v>
      </c>
      <c r="B9" s="1">
        <v>40153808</v>
      </c>
      <c r="C9" s="1">
        <v>97.3</v>
      </c>
      <c r="D9" s="1">
        <v>96.4</v>
      </c>
      <c r="F9" s="9"/>
      <c r="I9" s="8"/>
    </row>
    <row r="10" spans="1:11" x14ac:dyDescent="0.25">
      <c r="A10" s="28" t="s">
        <v>15</v>
      </c>
      <c r="B10" s="1">
        <v>33232657</v>
      </c>
      <c r="C10" s="1">
        <v>98.3</v>
      </c>
      <c r="D10" s="1">
        <v>97.1</v>
      </c>
      <c r="E10" s="1">
        <v>81.3</v>
      </c>
      <c r="F10" s="9">
        <v>12.06</v>
      </c>
      <c r="I10" s="8"/>
    </row>
    <row r="11" spans="1:11" x14ac:dyDescent="0.25">
      <c r="A11" s="28" t="s">
        <v>16</v>
      </c>
      <c r="B11" s="1">
        <v>33232657</v>
      </c>
      <c r="C11" s="1">
        <v>97</v>
      </c>
      <c r="D11" s="1">
        <v>96</v>
      </c>
      <c r="F11" s="9"/>
      <c r="I11" s="8"/>
    </row>
    <row r="12" spans="1:11" x14ac:dyDescent="0.25">
      <c r="A12" s="28" t="s">
        <v>17</v>
      </c>
      <c r="B12" s="1">
        <v>33984097</v>
      </c>
      <c r="C12" s="1">
        <v>98.3</v>
      </c>
      <c r="D12" s="1">
        <v>97.3</v>
      </c>
      <c r="E12" s="1">
        <v>80.8</v>
      </c>
      <c r="F12" s="9">
        <v>13.32</v>
      </c>
      <c r="I12" s="8"/>
    </row>
    <row r="13" spans="1:11" x14ac:dyDescent="0.25">
      <c r="A13" s="28" t="s">
        <v>18</v>
      </c>
      <c r="B13" s="1">
        <v>33984097</v>
      </c>
      <c r="C13" s="1">
        <v>97</v>
      </c>
      <c r="D13" s="1">
        <v>96</v>
      </c>
      <c r="F13" s="9"/>
      <c r="I13" s="8"/>
    </row>
    <row r="14" spans="1:11" x14ac:dyDescent="0.25">
      <c r="A14" s="28" t="s">
        <v>19</v>
      </c>
      <c r="B14" s="1">
        <v>30268270</v>
      </c>
      <c r="C14" s="1">
        <v>98.4</v>
      </c>
      <c r="D14" s="1">
        <v>97.4</v>
      </c>
      <c r="E14" s="1">
        <v>82.4</v>
      </c>
      <c r="F14" s="9">
        <v>12.93</v>
      </c>
      <c r="I14" s="8"/>
    </row>
    <row r="15" spans="1:11" x14ac:dyDescent="0.25">
      <c r="A15" s="28" t="s">
        <v>20</v>
      </c>
      <c r="B15" s="1">
        <v>30268270</v>
      </c>
      <c r="C15" s="1">
        <v>97.2</v>
      </c>
      <c r="D15" s="1">
        <v>96.3</v>
      </c>
      <c r="F15" s="9"/>
      <c r="I15" s="8"/>
    </row>
    <row r="16" spans="1:11" x14ac:dyDescent="0.25">
      <c r="A16" s="28" t="s">
        <v>21</v>
      </c>
      <c r="B16" s="1">
        <v>33488508</v>
      </c>
      <c r="C16" s="1">
        <v>98.4</v>
      </c>
      <c r="D16" s="1">
        <v>97.2</v>
      </c>
      <c r="E16" s="1">
        <v>83.6</v>
      </c>
      <c r="F16" s="9">
        <v>10.86</v>
      </c>
      <c r="I16" s="8"/>
    </row>
    <row r="17" spans="1:14" x14ac:dyDescent="0.25">
      <c r="A17" s="29" t="s">
        <v>22</v>
      </c>
      <c r="B17" s="1">
        <v>33488508</v>
      </c>
      <c r="C17" s="1">
        <v>97.3</v>
      </c>
      <c r="D17" s="1">
        <v>96.2</v>
      </c>
      <c r="E17" s="4"/>
      <c r="F17" s="9"/>
      <c r="I17" s="8"/>
    </row>
    <row r="18" spans="1:14" x14ac:dyDescent="0.25">
      <c r="A18" s="28" t="s">
        <v>23</v>
      </c>
      <c r="B18" s="2">
        <f>AVERAGE(B4:B17)</f>
        <v>34904095</v>
      </c>
      <c r="C18" s="2">
        <f>AVERAGE(C4:C17)</f>
        <v>97.75</v>
      </c>
      <c r="D18" s="2">
        <f>AVERAGE(D4:D17)</f>
        <v>96.75</v>
      </c>
      <c r="E18" s="2">
        <f>AVERAGE(E4:E17)</f>
        <v>82.114285714285728</v>
      </c>
      <c r="F18" s="10">
        <f>AVERAGE(F4:F17)</f>
        <v>12.47</v>
      </c>
      <c r="I18" s="8"/>
    </row>
    <row r="19" spans="1:14" x14ac:dyDescent="0.25">
      <c r="A19" s="28" t="s">
        <v>24</v>
      </c>
      <c r="B19" s="2">
        <f>_xlfn.STDEV.S(B4:B17)</f>
        <v>3779210.0942824832</v>
      </c>
      <c r="C19" s="3">
        <f>_xlfn.STDEV.S(C4:C17)</f>
        <v>0.61237243569579425</v>
      </c>
      <c r="D19" s="3">
        <f>_xlfn.STDEV.S(D4:D17)</f>
        <v>0.56124860801609133</v>
      </c>
      <c r="E19" s="3">
        <f>_xlfn.STDEV.S(E4:E17)</f>
        <v>1.0652520381402268</v>
      </c>
      <c r="F19" s="11">
        <f>_xlfn.STDEV.S(F4:F17)</f>
        <v>1.1185705163287649</v>
      </c>
      <c r="G19" s="8"/>
      <c r="H19" s="8"/>
      <c r="I19" s="8"/>
      <c r="J19" s="8"/>
      <c r="K19" s="8"/>
    </row>
    <row r="22" spans="1:14" ht="29.25" thickBot="1" x14ac:dyDescent="0.5">
      <c r="A22" s="27" t="s">
        <v>75</v>
      </c>
      <c r="J22" s="21"/>
      <c r="K22" s="21"/>
      <c r="L22" s="21"/>
      <c r="M22" s="21"/>
      <c r="N22" s="21"/>
    </row>
    <row r="23" spans="1:14" ht="15" customHeight="1" x14ac:dyDescent="0.25">
      <c r="A23" s="64" t="s">
        <v>0</v>
      </c>
      <c r="B23" s="64" t="s">
        <v>1</v>
      </c>
      <c r="C23" s="64" t="s">
        <v>2</v>
      </c>
      <c r="D23" s="64" t="s">
        <v>3</v>
      </c>
      <c r="E23" s="64" t="s">
        <v>4</v>
      </c>
      <c r="F23" s="64" t="s">
        <v>5</v>
      </c>
      <c r="G23" s="64" t="s">
        <v>6</v>
      </c>
      <c r="H23" s="64" t="s">
        <v>7</v>
      </c>
      <c r="I23" s="66" t="s">
        <v>8</v>
      </c>
      <c r="J23" s="7"/>
      <c r="K23" s="7"/>
      <c r="L23" s="7"/>
      <c r="M23" s="7"/>
      <c r="N23" s="7"/>
    </row>
    <row r="24" spans="1:14" ht="15.75" thickBot="1" x14ac:dyDescent="0.3">
      <c r="A24" s="65"/>
      <c r="B24" s="65"/>
      <c r="C24" s="65"/>
      <c r="D24" s="65"/>
      <c r="E24" s="65"/>
      <c r="F24" s="65"/>
      <c r="G24" s="65"/>
      <c r="H24" s="65"/>
      <c r="I24" s="67"/>
      <c r="J24" s="7"/>
      <c r="K24" s="7"/>
      <c r="L24" s="7"/>
      <c r="M24" s="7"/>
      <c r="N24" s="7"/>
    </row>
    <row r="25" spans="1:14" x14ac:dyDescent="0.25">
      <c r="A25" s="30" t="s">
        <v>9</v>
      </c>
      <c r="B25" s="5">
        <f>32576687+40000000</f>
        <v>72576687</v>
      </c>
      <c r="C25" s="1">
        <f>100-1.7</f>
        <v>98.3</v>
      </c>
      <c r="D25" s="1">
        <v>97.4</v>
      </c>
      <c r="E25" s="6">
        <v>83.7</v>
      </c>
      <c r="F25" s="6">
        <v>27.7</v>
      </c>
      <c r="G25" s="6">
        <v>99.933700000000002</v>
      </c>
      <c r="H25" s="6">
        <v>99.1</v>
      </c>
      <c r="I25" s="13">
        <f t="shared" ref="I25" si="0">AVERAGEA(G25:H26)</f>
        <v>99.516850000000005</v>
      </c>
      <c r="J25" s="6"/>
      <c r="K25" s="6"/>
      <c r="L25" s="12"/>
    </row>
    <row r="26" spans="1:14" x14ac:dyDescent="0.25">
      <c r="A26" s="31" t="s">
        <v>10</v>
      </c>
      <c r="B26" s="5">
        <f>32576687+40000000</f>
        <v>72576687</v>
      </c>
      <c r="C26" s="1">
        <f>100-3</f>
        <v>97</v>
      </c>
      <c r="D26" s="1">
        <v>96.2</v>
      </c>
      <c r="E26" s="6"/>
      <c r="F26" s="6"/>
      <c r="G26" s="6"/>
      <c r="H26" s="6"/>
      <c r="I26" s="13"/>
      <c r="J26" s="6"/>
      <c r="K26" s="6"/>
      <c r="L26" s="12"/>
    </row>
    <row r="27" spans="1:14" x14ac:dyDescent="0.25">
      <c r="A27" s="31" t="s">
        <v>11</v>
      </c>
      <c r="B27" s="5">
        <f>40624638+40000000</f>
        <v>80624638</v>
      </c>
      <c r="C27" s="1">
        <f>100-1.7</f>
        <v>98.3</v>
      </c>
      <c r="D27" s="1">
        <v>97.2</v>
      </c>
      <c r="E27" s="6">
        <v>82.3</v>
      </c>
      <c r="F27" s="6">
        <v>24.2</v>
      </c>
      <c r="G27" s="6">
        <v>99.254000000000005</v>
      </c>
      <c r="H27" s="6">
        <v>99.1</v>
      </c>
      <c r="I27" s="13">
        <f t="shared" ref="I27" si="1">AVERAGEA(G27:H28)</f>
        <v>99.176999999999992</v>
      </c>
      <c r="J27" s="6"/>
      <c r="K27" s="6"/>
      <c r="L27" s="12"/>
    </row>
    <row r="28" spans="1:14" x14ac:dyDescent="0.25">
      <c r="A28" s="31" t="s">
        <v>12</v>
      </c>
      <c r="B28" s="5">
        <f>40624638+40000000</f>
        <v>80624638</v>
      </c>
      <c r="C28" s="1">
        <f>100-2.6</f>
        <v>97.4</v>
      </c>
      <c r="D28" s="1">
        <v>96.5</v>
      </c>
      <c r="E28" s="6"/>
      <c r="F28" s="6"/>
      <c r="G28" s="6"/>
      <c r="H28" s="6"/>
      <c r="I28" s="13"/>
      <c r="J28" s="6"/>
      <c r="K28" s="6"/>
      <c r="L28" s="12"/>
    </row>
    <row r="29" spans="1:14" x14ac:dyDescent="0.25">
      <c r="A29" s="31" t="s">
        <v>13</v>
      </c>
      <c r="B29" s="5">
        <f>40153808+40000000</f>
        <v>80153808</v>
      </c>
      <c r="C29" s="1">
        <f>100-1.7</f>
        <v>98.3</v>
      </c>
      <c r="D29" s="1">
        <v>97.3</v>
      </c>
      <c r="E29" s="6">
        <v>82.6</v>
      </c>
      <c r="F29" s="6">
        <v>25.97</v>
      </c>
      <c r="G29" s="6">
        <v>99.924700000000001</v>
      </c>
      <c r="H29" s="6">
        <v>99.1</v>
      </c>
      <c r="I29" s="13">
        <f t="shared" ref="I29" si="2">AVERAGEA(G29:H30)</f>
        <v>99.512349999999998</v>
      </c>
      <c r="J29" s="6"/>
      <c r="K29" s="6"/>
      <c r="L29" s="12"/>
    </row>
    <row r="30" spans="1:14" x14ac:dyDescent="0.25">
      <c r="A30" s="31" t="s">
        <v>14</v>
      </c>
      <c r="B30" s="5">
        <f>40153808+40000000</f>
        <v>80153808</v>
      </c>
      <c r="C30" s="1">
        <f>100-2.7</f>
        <v>97.3</v>
      </c>
      <c r="D30" s="1">
        <v>96.4</v>
      </c>
      <c r="E30" s="6"/>
      <c r="F30" s="6"/>
      <c r="G30" s="6"/>
      <c r="H30" s="6"/>
      <c r="I30" s="13"/>
      <c r="J30" s="6"/>
      <c r="K30" s="6"/>
      <c r="L30" s="12"/>
    </row>
    <row r="31" spans="1:14" x14ac:dyDescent="0.25">
      <c r="A31" s="31" t="s">
        <v>15</v>
      </c>
      <c r="B31" s="5">
        <f>33232657+40000000</f>
        <v>73232657</v>
      </c>
      <c r="C31" s="1">
        <f>100-1.7</f>
        <v>98.3</v>
      </c>
      <c r="D31" s="1">
        <v>97.1</v>
      </c>
      <c r="E31" s="6">
        <v>81.599999999999994</v>
      </c>
      <c r="F31" s="6">
        <v>27.2</v>
      </c>
      <c r="G31" s="6">
        <v>99.921800000000005</v>
      </c>
      <c r="H31" s="6">
        <v>99.2</v>
      </c>
      <c r="I31" s="13">
        <f t="shared" ref="I31" si="3">AVERAGEA(G31:H32)</f>
        <v>99.560900000000004</v>
      </c>
      <c r="J31" s="6"/>
      <c r="K31" s="6"/>
      <c r="L31" s="12"/>
    </row>
    <row r="32" spans="1:14" x14ac:dyDescent="0.25">
      <c r="A32" s="31" t="s">
        <v>16</v>
      </c>
      <c r="B32" s="5">
        <f>33232657+40000000</f>
        <v>73232657</v>
      </c>
      <c r="C32" s="1">
        <f>100-1.7</f>
        <v>98.3</v>
      </c>
      <c r="D32" s="1">
        <v>96</v>
      </c>
      <c r="E32" s="6"/>
      <c r="F32" s="6"/>
      <c r="G32" s="6"/>
      <c r="H32" s="6"/>
      <c r="I32" s="13"/>
      <c r="J32" s="6"/>
      <c r="K32" s="6"/>
      <c r="L32" s="12"/>
    </row>
    <row r="33" spans="1:12" x14ac:dyDescent="0.25">
      <c r="A33" s="31" t="s">
        <v>17</v>
      </c>
      <c r="B33" s="5">
        <f>33984097+40000000</f>
        <v>73984097</v>
      </c>
      <c r="C33" s="1">
        <f>100-1.7</f>
        <v>98.3</v>
      </c>
      <c r="D33" s="1">
        <v>97.3</v>
      </c>
      <c r="E33" s="6">
        <v>81.400000000000006</v>
      </c>
      <c r="F33" s="6">
        <v>29.27</v>
      </c>
      <c r="G33" s="6">
        <v>99.918700000000001</v>
      </c>
      <c r="H33" s="6">
        <v>99.1</v>
      </c>
      <c r="I33" s="13">
        <f t="shared" ref="I33" si="4">AVERAGEA(G33:H34)</f>
        <v>99.509349999999998</v>
      </c>
      <c r="J33" s="6"/>
      <c r="K33" s="6"/>
      <c r="L33" s="12"/>
    </row>
    <row r="34" spans="1:12" x14ac:dyDescent="0.25">
      <c r="A34" s="31" t="s">
        <v>18</v>
      </c>
      <c r="B34" s="5">
        <f>33984097+40000000</f>
        <v>73984097</v>
      </c>
      <c r="C34" s="1">
        <v>97</v>
      </c>
      <c r="D34" s="1">
        <v>96</v>
      </c>
      <c r="E34" s="6"/>
      <c r="F34" s="6"/>
      <c r="G34" s="6"/>
      <c r="H34" s="6"/>
      <c r="I34" s="13"/>
      <c r="J34" s="6"/>
      <c r="K34" s="6"/>
      <c r="L34" s="12"/>
    </row>
    <row r="35" spans="1:12" x14ac:dyDescent="0.25">
      <c r="A35" s="31" t="s">
        <v>19</v>
      </c>
      <c r="B35" s="5">
        <f>30268270+40000000</f>
        <v>70268270</v>
      </c>
      <c r="C35" s="1">
        <f>100-1.6</f>
        <v>98.4</v>
      </c>
      <c r="D35" s="1">
        <v>97.4</v>
      </c>
      <c r="E35" s="6">
        <v>82.8</v>
      </c>
      <c r="F35" s="6">
        <v>30.05</v>
      </c>
      <c r="G35" s="6">
        <v>99.916300000000007</v>
      </c>
      <c r="H35" s="6">
        <v>99.1</v>
      </c>
      <c r="I35" s="13">
        <f t="shared" ref="I35" si="5">AVERAGEA(G35:H36)</f>
        <v>99.508150000000001</v>
      </c>
      <c r="J35" s="6"/>
      <c r="K35" s="6"/>
      <c r="L35" s="12"/>
    </row>
    <row r="36" spans="1:12" x14ac:dyDescent="0.25">
      <c r="A36" s="31" t="s">
        <v>20</v>
      </c>
      <c r="B36" s="5">
        <f>30268270+40000000</f>
        <v>70268270</v>
      </c>
      <c r="C36" s="1">
        <f>100-2.8</f>
        <v>97.2</v>
      </c>
      <c r="D36" s="1">
        <v>96.3</v>
      </c>
      <c r="E36" s="6"/>
      <c r="F36" s="6"/>
      <c r="G36" s="6"/>
      <c r="H36" s="6"/>
      <c r="I36" s="13"/>
      <c r="J36" s="6"/>
      <c r="K36" s="6"/>
      <c r="L36" s="12"/>
    </row>
    <row r="37" spans="1:12" x14ac:dyDescent="0.25">
      <c r="A37" s="31" t="s">
        <v>21</v>
      </c>
      <c r="B37" s="5">
        <f>33488508+40000000</f>
        <v>73488508</v>
      </c>
      <c r="C37" s="1">
        <f>100-1.6</f>
        <v>98.4</v>
      </c>
      <c r="D37" s="1">
        <v>96.3</v>
      </c>
      <c r="E37" s="6">
        <v>83.8</v>
      </c>
      <c r="F37" s="6">
        <v>25.95</v>
      </c>
      <c r="G37" s="6">
        <v>99.919399999999996</v>
      </c>
      <c r="H37" s="6">
        <v>99</v>
      </c>
      <c r="I37" s="13">
        <f>AVERAGEA(G37:H38)</f>
        <v>99.459699999999998</v>
      </c>
      <c r="J37" s="6"/>
      <c r="K37" s="6"/>
      <c r="L37" s="12"/>
    </row>
    <row r="38" spans="1:12" x14ac:dyDescent="0.25">
      <c r="A38" s="32" t="s">
        <v>22</v>
      </c>
      <c r="B38" s="5">
        <f>33488508+40000000</f>
        <v>73488508</v>
      </c>
      <c r="C38" s="1">
        <f>100-2.7</f>
        <v>97.3</v>
      </c>
      <c r="D38" s="1">
        <v>96.2</v>
      </c>
      <c r="E38" s="6"/>
      <c r="F38" s="6"/>
      <c r="G38" s="6"/>
      <c r="H38" s="6"/>
      <c r="I38" s="13"/>
      <c r="J38" s="6"/>
      <c r="K38" s="6"/>
      <c r="L38" s="12"/>
    </row>
    <row r="39" spans="1:12" x14ac:dyDescent="0.25">
      <c r="A39" s="33" t="s">
        <v>23</v>
      </c>
      <c r="B39" s="33">
        <f t="shared" ref="B39:H39" si="6">AVERAGEA(B25:B38)</f>
        <v>74904095</v>
      </c>
      <c r="C39" s="2">
        <f t="shared" si="6"/>
        <v>97.842857142857142</v>
      </c>
      <c r="D39" s="2">
        <f t="shared" si="6"/>
        <v>96.685714285714283</v>
      </c>
      <c r="E39" s="2">
        <f t="shared" si="6"/>
        <v>82.600000000000009</v>
      </c>
      <c r="F39" s="2">
        <f t="shared" si="6"/>
        <v>27.19142857142857</v>
      </c>
      <c r="G39" s="2">
        <f t="shared" si="6"/>
        <v>99.826942857142853</v>
      </c>
      <c r="H39" s="2">
        <f t="shared" si="6"/>
        <v>99.1</v>
      </c>
      <c r="I39" s="10"/>
      <c r="J39" s="34"/>
      <c r="K39" s="34"/>
      <c r="L39" s="35"/>
    </row>
    <row r="40" spans="1:12" x14ac:dyDescent="0.25">
      <c r="A40" s="36" t="s">
        <v>24</v>
      </c>
      <c r="B40" s="4">
        <f t="shared" ref="B40:H40" si="7">_xlfn.STDEV.S(B25:B38)</f>
        <v>3779210.0942825037</v>
      </c>
      <c r="C40" s="4">
        <f t="shared" si="7"/>
        <v>0.58797473220733332</v>
      </c>
      <c r="D40" s="4">
        <f t="shared" si="7"/>
        <v>0.55726963899843918</v>
      </c>
      <c r="E40" s="4">
        <f t="shared" si="7"/>
        <v>0.93273790530888134</v>
      </c>
      <c r="F40" s="4">
        <f t="shared" si="7"/>
        <v>2.030282645113143</v>
      </c>
      <c r="G40" s="4">
        <f t="shared" si="7"/>
        <v>0.25270778155241341</v>
      </c>
      <c r="H40" s="4">
        <f t="shared" si="7"/>
        <v>5.77350269189634E-2</v>
      </c>
      <c r="I40" s="37"/>
      <c r="L40" s="38"/>
    </row>
  </sheetData>
  <mergeCells count="17">
    <mergeCell ref="J22:N22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G1:K1"/>
    <mergeCell ref="A2:A3"/>
    <mergeCell ref="B2:B3"/>
    <mergeCell ref="C2:C3"/>
    <mergeCell ref="D2:D3"/>
    <mergeCell ref="F2:F3"/>
    <mergeCell ref="E2:E3"/>
  </mergeCells>
  <conditionalFormatting sqref="B25:B38">
    <cfRule type="cellIs" dxfId="0" priority="1" operator="lessThan">
      <formula>33000000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1C5AC-EF38-41E5-A39F-002DDE85185B}">
  <dimension ref="A1:K53"/>
  <sheetViews>
    <sheetView zoomScale="74" workbookViewId="0">
      <selection activeCell="J12" sqref="J12"/>
    </sheetView>
  </sheetViews>
  <sheetFormatPr baseColWidth="10" defaultRowHeight="15" x14ac:dyDescent="0.25"/>
  <cols>
    <col min="1" max="1" width="16.5703125" style="1" customWidth="1"/>
    <col min="2" max="2" width="11.42578125" style="1"/>
    <col min="3" max="3" width="18.7109375" style="1" customWidth="1"/>
    <col min="4" max="4" width="19.28515625" style="1" customWidth="1"/>
    <col min="5" max="5" width="21.7109375" style="1" customWidth="1"/>
    <col min="6" max="6" width="20.7109375" style="1" customWidth="1"/>
    <col min="7" max="10" width="11.42578125" style="1"/>
    <col min="11" max="11" width="15.42578125" style="1" bestFit="1" customWidth="1"/>
    <col min="12" max="16384" width="11.42578125" style="1"/>
  </cols>
  <sheetData>
    <row r="1" spans="1:11" ht="29.25" thickBot="1" x14ac:dyDescent="0.5">
      <c r="A1" s="27" t="s">
        <v>73</v>
      </c>
      <c r="G1" s="21"/>
      <c r="H1" s="21"/>
      <c r="I1" s="21"/>
      <c r="J1" s="21"/>
      <c r="K1" s="21"/>
    </row>
    <row r="2" spans="1:11" ht="39" customHeight="1" x14ac:dyDescent="0.25">
      <c r="A2" s="64" t="s">
        <v>0</v>
      </c>
      <c r="B2" s="64" t="s">
        <v>1</v>
      </c>
      <c r="C2" s="64" t="s">
        <v>2</v>
      </c>
      <c r="D2" s="64" t="s">
        <v>4</v>
      </c>
      <c r="E2" s="64" t="s">
        <v>5</v>
      </c>
      <c r="F2" s="66" t="s">
        <v>8</v>
      </c>
      <c r="G2" s="22"/>
      <c r="H2" s="22"/>
      <c r="I2" s="22"/>
      <c r="J2" s="22"/>
      <c r="K2" s="22"/>
    </row>
    <row r="3" spans="1:11" ht="15.75" thickBot="1" x14ac:dyDescent="0.3">
      <c r="A3" s="65"/>
      <c r="B3" s="65"/>
      <c r="C3" s="65"/>
      <c r="D3" s="65"/>
      <c r="E3" s="65"/>
      <c r="F3" s="67"/>
      <c r="G3" s="22"/>
      <c r="H3" s="22"/>
      <c r="I3" s="22"/>
      <c r="J3" s="22"/>
      <c r="K3" s="22"/>
    </row>
    <row r="4" spans="1:11" x14ac:dyDescent="0.25">
      <c r="A4" s="39" t="s">
        <v>25</v>
      </c>
      <c r="B4" s="6">
        <v>55251936</v>
      </c>
      <c r="C4" s="1">
        <v>80.900000000000006</v>
      </c>
      <c r="D4" s="6">
        <v>84.5</v>
      </c>
      <c r="E4" s="6">
        <v>1.7900000000000063</v>
      </c>
      <c r="F4" s="14">
        <v>99.4</v>
      </c>
    </row>
    <row r="5" spans="1:11" x14ac:dyDescent="0.25">
      <c r="A5" s="40" t="s">
        <v>26</v>
      </c>
      <c r="B5" s="6">
        <v>55251936</v>
      </c>
      <c r="C5" s="1">
        <v>80.900000000000006</v>
      </c>
      <c r="D5" s="6"/>
      <c r="E5" s="6"/>
      <c r="F5" s="14"/>
    </row>
    <row r="6" spans="1:11" x14ac:dyDescent="0.25">
      <c r="A6" s="40" t="s">
        <v>27</v>
      </c>
      <c r="B6" s="6">
        <v>76080651</v>
      </c>
      <c r="C6" s="1">
        <v>83.1</v>
      </c>
      <c r="D6" s="6">
        <v>85.5</v>
      </c>
      <c r="E6" s="6">
        <v>5.4500000000000028</v>
      </c>
      <c r="F6" s="14">
        <v>99.6</v>
      </c>
    </row>
    <row r="7" spans="1:11" x14ac:dyDescent="0.25">
      <c r="A7" s="40" t="s">
        <v>28</v>
      </c>
      <c r="B7" s="6">
        <v>76080651</v>
      </c>
      <c r="C7" s="1">
        <v>83.7</v>
      </c>
      <c r="D7" s="6"/>
      <c r="E7" s="6"/>
      <c r="F7" s="14"/>
    </row>
    <row r="8" spans="1:11" x14ac:dyDescent="0.25">
      <c r="A8" s="40" t="s">
        <v>29</v>
      </c>
      <c r="B8" s="6">
        <v>52731645</v>
      </c>
      <c r="C8" s="1">
        <v>81.2</v>
      </c>
      <c r="D8" s="6">
        <v>84.9</v>
      </c>
      <c r="E8" s="6">
        <v>2.019999999999996</v>
      </c>
      <c r="F8" s="14">
        <v>99.5</v>
      </c>
    </row>
    <row r="9" spans="1:11" x14ac:dyDescent="0.25">
      <c r="A9" s="40" t="s">
        <v>30</v>
      </c>
      <c r="B9" s="6">
        <v>52731645</v>
      </c>
      <c r="C9" s="1">
        <v>81.3</v>
      </c>
      <c r="D9" s="6"/>
      <c r="E9" s="6"/>
      <c r="F9" s="14"/>
    </row>
    <row r="10" spans="1:11" x14ac:dyDescent="0.25">
      <c r="A10" s="40" t="s">
        <v>31</v>
      </c>
      <c r="B10" s="6">
        <v>52682528</v>
      </c>
      <c r="C10" s="1">
        <v>79.400000000000006</v>
      </c>
      <c r="D10" s="6">
        <v>84.7</v>
      </c>
      <c r="E10" s="6">
        <v>1.8700000000000045</v>
      </c>
      <c r="F10" s="14">
        <v>99.4</v>
      </c>
    </row>
    <row r="11" spans="1:11" x14ac:dyDescent="0.25">
      <c r="A11" s="40" t="s">
        <v>32</v>
      </c>
      <c r="B11" s="6">
        <v>52682528</v>
      </c>
      <c r="C11" s="1">
        <v>79.5</v>
      </c>
      <c r="D11" s="6"/>
      <c r="E11" s="6"/>
      <c r="F11" s="14"/>
    </row>
    <row r="12" spans="1:11" x14ac:dyDescent="0.25">
      <c r="A12" s="40" t="s">
        <v>33</v>
      </c>
      <c r="B12" s="6">
        <v>69814889</v>
      </c>
      <c r="C12" s="1">
        <v>87.5</v>
      </c>
      <c r="D12" s="6">
        <v>86.2</v>
      </c>
      <c r="E12" s="6">
        <v>5.75</v>
      </c>
      <c r="F12" s="14">
        <v>99.5</v>
      </c>
    </row>
    <row r="13" spans="1:11" x14ac:dyDescent="0.25">
      <c r="A13" s="40" t="s">
        <v>34</v>
      </c>
      <c r="B13" s="6">
        <v>69814889</v>
      </c>
      <c r="C13" s="1">
        <v>88</v>
      </c>
      <c r="D13" s="6"/>
      <c r="E13" s="6"/>
      <c r="F13" s="14"/>
    </row>
    <row r="14" spans="1:11" x14ac:dyDescent="0.25">
      <c r="A14" s="40" t="s">
        <v>35</v>
      </c>
      <c r="B14" s="6">
        <v>74344819</v>
      </c>
      <c r="C14" s="1">
        <v>85.399999999999991</v>
      </c>
      <c r="D14" s="6">
        <v>85.2</v>
      </c>
      <c r="E14" s="6">
        <v>6.6400000000000006</v>
      </c>
      <c r="F14" s="14">
        <v>99.5</v>
      </c>
    </row>
    <row r="15" spans="1:11" x14ac:dyDescent="0.25">
      <c r="A15" s="40" t="s">
        <v>36</v>
      </c>
      <c r="B15" s="6">
        <v>74344819</v>
      </c>
      <c r="C15" s="1">
        <v>86.2</v>
      </c>
      <c r="D15" s="6"/>
      <c r="E15" s="6"/>
      <c r="F15" s="14"/>
    </row>
    <row r="16" spans="1:11" x14ac:dyDescent="0.25">
      <c r="A16" s="40" t="s">
        <v>37</v>
      </c>
      <c r="B16" s="6">
        <v>85799054</v>
      </c>
      <c r="C16" s="1">
        <v>80.300000000000011</v>
      </c>
      <c r="D16" s="6">
        <v>85.3</v>
      </c>
      <c r="E16" s="6">
        <v>2.9200000000000017</v>
      </c>
      <c r="F16" s="14">
        <v>99.6</v>
      </c>
    </row>
    <row r="17" spans="1:6" x14ac:dyDescent="0.25">
      <c r="A17" s="40" t="s">
        <v>38</v>
      </c>
      <c r="B17" s="6">
        <v>85799054</v>
      </c>
      <c r="C17" s="1">
        <v>80.600000000000009</v>
      </c>
      <c r="D17" s="6"/>
      <c r="E17" s="6"/>
      <c r="F17" s="14"/>
    </row>
    <row r="18" spans="1:6" x14ac:dyDescent="0.25">
      <c r="A18" s="40" t="s">
        <v>39</v>
      </c>
      <c r="B18" s="6">
        <v>88682084</v>
      </c>
      <c r="C18" s="1">
        <v>80.400000000000006</v>
      </c>
      <c r="D18" s="6">
        <v>85</v>
      </c>
      <c r="E18" s="6">
        <v>2.9500000000000028</v>
      </c>
      <c r="F18" s="14">
        <v>99.4</v>
      </c>
    </row>
    <row r="19" spans="1:6" x14ac:dyDescent="0.25">
      <c r="A19" s="40" t="s">
        <v>40</v>
      </c>
      <c r="B19" s="6">
        <v>88682084</v>
      </c>
      <c r="C19" s="1">
        <v>80.5</v>
      </c>
      <c r="D19" s="6"/>
      <c r="E19" s="6"/>
      <c r="F19" s="14"/>
    </row>
    <row r="20" spans="1:6" x14ac:dyDescent="0.25">
      <c r="A20" s="40" t="s">
        <v>41</v>
      </c>
      <c r="B20" s="6">
        <v>81202306</v>
      </c>
      <c r="C20" s="1">
        <v>80.600000000000009</v>
      </c>
      <c r="D20" s="6">
        <v>85.3</v>
      </c>
      <c r="E20" s="6">
        <v>2.7199999999999989</v>
      </c>
      <c r="F20" s="14">
        <v>99.6</v>
      </c>
    </row>
    <row r="21" spans="1:6" x14ac:dyDescent="0.25">
      <c r="A21" s="40" t="s">
        <v>42</v>
      </c>
      <c r="B21" s="6">
        <v>81202306</v>
      </c>
      <c r="C21" s="1">
        <v>80.900000000000006</v>
      </c>
      <c r="D21" s="6"/>
      <c r="E21" s="6"/>
      <c r="F21" s="14"/>
    </row>
    <row r="22" spans="1:6" x14ac:dyDescent="0.25">
      <c r="A22" s="40" t="s">
        <v>43</v>
      </c>
      <c r="B22" s="6">
        <v>76463591</v>
      </c>
      <c r="C22" s="1">
        <v>82.6</v>
      </c>
      <c r="D22" s="6">
        <v>84.9</v>
      </c>
      <c r="E22" s="6">
        <v>2.2800000000000011</v>
      </c>
      <c r="F22" s="14">
        <v>99.537499999999994</v>
      </c>
    </row>
    <row r="23" spans="1:6" x14ac:dyDescent="0.25">
      <c r="A23" s="40" t="s">
        <v>44</v>
      </c>
      <c r="B23" s="6">
        <v>76463591</v>
      </c>
      <c r="C23" s="1">
        <v>82.699999999999989</v>
      </c>
      <c r="D23" s="6"/>
      <c r="E23" s="6"/>
      <c r="F23" s="14"/>
    </row>
    <row r="24" spans="1:6" x14ac:dyDescent="0.25">
      <c r="A24" s="40" t="s">
        <v>45</v>
      </c>
      <c r="B24" s="6">
        <v>73265664</v>
      </c>
      <c r="C24" s="1">
        <v>83.2</v>
      </c>
      <c r="D24" s="6">
        <v>85.8</v>
      </c>
      <c r="E24" s="6">
        <v>2.8299999999999983</v>
      </c>
      <c r="F24" s="14">
        <v>99.545833333333306</v>
      </c>
    </row>
    <row r="25" spans="1:6" x14ac:dyDescent="0.25">
      <c r="A25" s="40" t="s">
        <v>46</v>
      </c>
      <c r="B25" s="6">
        <v>73265664</v>
      </c>
      <c r="C25" s="1">
        <v>83.399999999999991</v>
      </c>
      <c r="D25" s="6"/>
      <c r="E25" s="6"/>
      <c r="F25" s="14"/>
    </row>
    <row r="26" spans="1:6" x14ac:dyDescent="0.25">
      <c r="A26" s="40" t="s">
        <v>47</v>
      </c>
      <c r="B26" s="6">
        <v>72447156</v>
      </c>
      <c r="C26" s="1">
        <v>86.2</v>
      </c>
      <c r="D26" s="6">
        <v>85.7</v>
      </c>
      <c r="E26" s="6">
        <v>2.480000000000004</v>
      </c>
      <c r="F26" s="14">
        <v>99.554166666666703</v>
      </c>
    </row>
    <row r="27" spans="1:6" x14ac:dyDescent="0.25">
      <c r="A27" s="40" t="s">
        <v>48</v>
      </c>
      <c r="B27" s="6">
        <v>72447156</v>
      </c>
      <c r="C27" s="1">
        <v>86.3</v>
      </c>
      <c r="D27" s="6"/>
      <c r="E27" s="6"/>
      <c r="F27" s="14"/>
    </row>
    <row r="28" spans="1:6" x14ac:dyDescent="0.25">
      <c r="A28" s="40" t="s">
        <v>49</v>
      </c>
      <c r="B28" s="6">
        <v>63187283</v>
      </c>
      <c r="C28" s="1">
        <v>81</v>
      </c>
      <c r="D28" s="6">
        <v>84.9</v>
      </c>
      <c r="E28" s="6">
        <v>2.019999999999996</v>
      </c>
      <c r="F28" s="14">
        <v>99.5625</v>
      </c>
    </row>
    <row r="29" spans="1:6" x14ac:dyDescent="0.25">
      <c r="A29" s="40" t="s">
        <v>50</v>
      </c>
      <c r="B29" s="6">
        <v>63187283</v>
      </c>
      <c r="C29" s="1">
        <v>81.100000000000009</v>
      </c>
      <c r="D29" s="6"/>
      <c r="E29" s="6"/>
      <c r="F29" s="14"/>
    </row>
    <row r="30" spans="1:6" x14ac:dyDescent="0.25">
      <c r="A30" s="40" t="s">
        <v>51</v>
      </c>
      <c r="B30" s="6">
        <v>77193037</v>
      </c>
      <c r="C30" s="1">
        <v>85.7</v>
      </c>
      <c r="D30" s="6">
        <v>85.8</v>
      </c>
      <c r="E30" s="6">
        <v>2.6599999999999966</v>
      </c>
      <c r="F30" s="14">
        <v>99.570833333333297</v>
      </c>
    </row>
    <row r="31" spans="1:6" x14ac:dyDescent="0.25">
      <c r="A31" s="40" t="s">
        <v>52</v>
      </c>
      <c r="B31" s="6">
        <v>77193037</v>
      </c>
      <c r="C31" s="1">
        <v>85.9</v>
      </c>
      <c r="D31" s="6"/>
      <c r="E31" s="6"/>
      <c r="F31" s="14"/>
    </row>
    <row r="32" spans="1:6" x14ac:dyDescent="0.25">
      <c r="A32" s="40" t="s">
        <v>53</v>
      </c>
      <c r="B32" s="6">
        <v>71202309</v>
      </c>
      <c r="C32" s="1">
        <v>84.7</v>
      </c>
      <c r="D32" s="6">
        <v>86.1</v>
      </c>
      <c r="E32" s="6">
        <v>2.6299999999999955</v>
      </c>
      <c r="F32" s="14">
        <v>99.579166666666694</v>
      </c>
    </row>
    <row r="33" spans="1:6" x14ac:dyDescent="0.25">
      <c r="A33" s="40" t="s">
        <v>54</v>
      </c>
      <c r="B33" s="6">
        <v>71202309</v>
      </c>
      <c r="C33" s="1">
        <v>84.899999999999991</v>
      </c>
      <c r="D33" s="6"/>
      <c r="E33" s="6"/>
      <c r="F33" s="14"/>
    </row>
    <row r="34" spans="1:6" x14ac:dyDescent="0.25">
      <c r="A34" s="40" t="s">
        <v>55</v>
      </c>
      <c r="B34" s="6">
        <v>74080116</v>
      </c>
      <c r="C34" s="1">
        <v>88</v>
      </c>
      <c r="D34" s="6">
        <v>86.3</v>
      </c>
      <c r="E34" s="6">
        <v>2.8100000000000023</v>
      </c>
      <c r="F34" s="14">
        <v>99.587500000000006</v>
      </c>
    </row>
    <row r="35" spans="1:6" x14ac:dyDescent="0.25">
      <c r="A35" s="40" t="s">
        <v>56</v>
      </c>
      <c r="B35" s="6">
        <v>74080116</v>
      </c>
      <c r="C35" s="1">
        <v>88.1</v>
      </c>
      <c r="D35" s="6"/>
      <c r="E35" s="6"/>
      <c r="F35" s="14"/>
    </row>
    <row r="36" spans="1:6" x14ac:dyDescent="0.25">
      <c r="A36" s="40" t="s">
        <v>57</v>
      </c>
      <c r="B36" s="6">
        <v>69325970</v>
      </c>
      <c r="C36" s="1">
        <v>85.2</v>
      </c>
      <c r="D36" s="6">
        <v>85.2</v>
      </c>
      <c r="E36" s="6">
        <v>2.6299999999999955</v>
      </c>
      <c r="F36" s="14">
        <v>99.595833333333303</v>
      </c>
    </row>
    <row r="37" spans="1:6" x14ac:dyDescent="0.25">
      <c r="A37" s="40" t="s">
        <v>58</v>
      </c>
      <c r="B37" s="6">
        <v>69325970</v>
      </c>
      <c r="C37" s="1">
        <v>85.399999999999991</v>
      </c>
      <c r="D37" s="6"/>
      <c r="E37" s="6"/>
      <c r="F37" s="14"/>
    </row>
    <row r="38" spans="1:6" x14ac:dyDescent="0.25">
      <c r="A38" s="40" t="s">
        <v>59</v>
      </c>
      <c r="B38" s="6">
        <v>87227885</v>
      </c>
      <c r="C38" s="1">
        <v>86.4</v>
      </c>
      <c r="D38" s="6">
        <v>86</v>
      </c>
      <c r="E38" s="6">
        <v>3.769999999999996</v>
      </c>
      <c r="F38" s="14">
        <v>99.6041666666667</v>
      </c>
    </row>
    <row r="39" spans="1:6" x14ac:dyDescent="0.25">
      <c r="A39" s="40" t="s">
        <v>60</v>
      </c>
      <c r="B39" s="6">
        <v>87227885</v>
      </c>
      <c r="C39" s="1">
        <v>86.5</v>
      </c>
      <c r="D39" s="6"/>
      <c r="E39" s="6"/>
      <c r="F39" s="14"/>
    </row>
    <row r="40" spans="1:6" x14ac:dyDescent="0.25">
      <c r="A40" s="40" t="s">
        <v>61</v>
      </c>
      <c r="B40" s="6">
        <v>82953584</v>
      </c>
      <c r="C40" s="1">
        <v>84.7</v>
      </c>
      <c r="D40" s="6">
        <v>85.7</v>
      </c>
      <c r="E40" s="6">
        <v>2.6200000000000045</v>
      </c>
      <c r="F40" s="14">
        <v>99.608333333333306</v>
      </c>
    </row>
    <row r="41" spans="1:6" x14ac:dyDescent="0.25">
      <c r="A41" s="40" t="s">
        <v>62</v>
      </c>
      <c r="B41" s="6">
        <v>82953584</v>
      </c>
      <c r="C41" s="1">
        <v>84.899999999999991</v>
      </c>
      <c r="D41" s="6"/>
      <c r="E41" s="6"/>
      <c r="F41" s="14"/>
    </row>
    <row r="42" spans="1:6" x14ac:dyDescent="0.25">
      <c r="A42" s="40" t="s">
        <v>63</v>
      </c>
      <c r="B42" s="6">
        <v>69487408</v>
      </c>
      <c r="C42" s="1">
        <v>84.5</v>
      </c>
      <c r="D42" s="6">
        <v>85.4</v>
      </c>
      <c r="E42" s="6">
        <v>2.3799999999999955</v>
      </c>
      <c r="F42" s="14">
        <v>99.4166666666667</v>
      </c>
    </row>
    <row r="43" spans="1:6" x14ac:dyDescent="0.25">
      <c r="A43" s="40" t="s">
        <v>64</v>
      </c>
      <c r="B43" s="6">
        <v>69487408</v>
      </c>
      <c r="C43" s="1">
        <v>84.6</v>
      </c>
      <c r="D43" s="6"/>
      <c r="E43" s="6"/>
      <c r="F43" s="14"/>
    </row>
    <row r="44" spans="1:6" x14ac:dyDescent="0.25">
      <c r="A44" s="40" t="s">
        <v>65</v>
      </c>
      <c r="B44" s="6">
        <v>80933335</v>
      </c>
      <c r="C44" s="1">
        <v>83.7</v>
      </c>
      <c r="D44" s="6">
        <v>86</v>
      </c>
      <c r="E44" s="6">
        <v>2.7000000000000028</v>
      </c>
      <c r="F44" s="14">
        <v>99.625</v>
      </c>
    </row>
    <row r="45" spans="1:6" x14ac:dyDescent="0.25">
      <c r="A45" s="40" t="s">
        <v>66</v>
      </c>
      <c r="B45" s="6">
        <v>80933335</v>
      </c>
      <c r="C45" s="1">
        <v>83.899999999999991</v>
      </c>
      <c r="D45" s="6"/>
      <c r="E45" s="6"/>
      <c r="F45" s="14"/>
    </row>
    <row r="46" spans="1:6" x14ac:dyDescent="0.25">
      <c r="A46" s="40" t="s">
        <v>67</v>
      </c>
      <c r="B46" s="6">
        <v>80511796</v>
      </c>
      <c r="C46" s="1">
        <v>84.2</v>
      </c>
      <c r="D46" s="6">
        <v>85.4</v>
      </c>
      <c r="E46" s="6">
        <v>2.75</v>
      </c>
      <c r="F46" s="14">
        <v>99.433333333333294</v>
      </c>
    </row>
    <row r="47" spans="1:6" x14ac:dyDescent="0.25">
      <c r="A47" s="40" t="s">
        <v>68</v>
      </c>
      <c r="B47" s="6">
        <v>80511796</v>
      </c>
      <c r="C47" s="1">
        <v>84.2</v>
      </c>
      <c r="D47" s="6"/>
      <c r="E47" s="6"/>
      <c r="F47" s="14"/>
    </row>
    <row r="48" spans="1:6" x14ac:dyDescent="0.25">
      <c r="A48" s="40" t="s">
        <v>69</v>
      </c>
      <c r="B48" s="6">
        <v>73640691</v>
      </c>
      <c r="C48" s="1">
        <v>86.9</v>
      </c>
      <c r="D48" s="6">
        <v>85.3</v>
      </c>
      <c r="E48" s="6">
        <v>2.5400000000000063</v>
      </c>
      <c r="F48" s="14">
        <v>99.641666666666694</v>
      </c>
    </row>
    <row r="49" spans="1:6" x14ac:dyDescent="0.25">
      <c r="A49" s="40" t="s">
        <v>70</v>
      </c>
      <c r="B49" s="6">
        <v>73640691</v>
      </c>
      <c r="C49" s="1">
        <v>86.9</v>
      </c>
      <c r="D49" s="6"/>
      <c r="E49" s="6"/>
      <c r="F49" s="14"/>
    </row>
    <row r="50" spans="1:6" x14ac:dyDescent="0.25">
      <c r="A50" s="40" t="s">
        <v>71</v>
      </c>
      <c r="B50" s="6">
        <v>78894833</v>
      </c>
      <c r="C50" s="1">
        <v>86.7</v>
      </c>
      <c r="D50" s="6">
        <v>85.9</v>
      </c>
      <c r="E50" s="6">
        <v>2.7099999999999937</v>
      </c>
      <c r="F50" s="14">
        <v>99.65</v>
      </c>
    </row>
    <row r="51" spans="1:6" x14ac:dyDescent="0.25">
      <c r="A51" s="41" t="s">
        <v>72</v>
      </c>
      <c r="B51" s="6">
        <v>78894833</v>
      </c>
      <c r="C51" s="1">
        <v>86.9</v>
      </c>
      <c r="D51" s="6"/>
      <c r="E51" s="6"/>
      <c r="F51" s="14"/>
    </row>
    <row r="52" spans="1:6" x14ac:dyDescent="0.25">
      <c r="A52" s="41" t="s">
        <v>23</v>
      </c>
      <c r="B52" s="42">
        <f>AVERAGEA(B4:B51)</f>
        <v>73641857.083333328</v>
      </c>
      <c r="C52" s="43">
        <f>AVERAGEA(C4:C51)</f>
        <v>83.954166666666652</v>
      </c>
      <c r="D52" s="44">
        <f>AVERAGEA(D4:D51)</f>
        <v>85.458333333333329</v>
      </c>
      <c r="E52" s="44">
        <v>2.9966666666666666</v>
      </c>
      <c r="F52" s="45">
        <f t="shared" ref="F52" si="0">AVERAGEA(F4:F51)</f>
        <v>99.542187500000026</v>
      </c>
    </row>
    <row r="53" spans="1:6" x14ac:dyDescent="0.25">
      <c r="A53" s="36" t="s">
        <v>24</v>
      </c>
      <c r="B53" s="4">
        <f>_xlfn.STDEV.S(B4:B51)</f>
        <v>9762470.7726152577</v>
      </c>
      <c r="C53" s="4">
        <f t="shared" ref="C53:F53" si="1">_xlfn.STDEV.S(C4:C51)</f>
        <v>2.5518419157778087</v>
      </c>
      <c r="D53" s="4">
        <f t="shared" si="1"/>
        <v>0.49599848059608209</v>
      </c>
      <c r="E53" s="4">
        <f t="shared" si="1"/>
        <v>1.222551382992948</v>
      </c>
      <c r="F53" s="37">
        <f t="shared" si="1"/>
        <v>8.019745126631804E-2</v>
      </c>
    </row>
  </sheetData>
  <mergeCells count="12">
    <mergeCell ref="A2:A3"/>
    <mergeCell ref="B2:B3"/>
    <mergeCell ref="C2:C3"/>
    <mergeCell ref="F2:F3"/>
    <mergeCell ref="G2:G3"/>
    <mergeCell ref="D2:D3"/>
    <mergeCell ref="E2:E3"/>
    <mergeCell ref="G1:K1"/>
    <mergeCell ref="H2:H3"/>
    <mergeCell ref="I2:I3"/>
    <mergeCell ref="J2:J3"/>
    <mergeCell ref="K2:K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0D5C6-E394-42C5-9D89-4957C3159220}">
  <dimension ref="A1:I141"/>
  <sheetViews>
    <sheetView zoomScale="74" workbookViewId="0">
      <selection activeCell="J15" sqref="J15"/>
    </sheetView>
  </sheetViews>
  <sheetFormatPr baseColWidth="10" defaultRowHeight="15" x14ac:dyDescent="0.25"/>
  <cols>
    <col min="1" max="4" width="11.42578125" style="1"/>
    <col min="5" max="5" width="25.140625" style="1" customWidth="1"/>
    <col min="6" max="6" width="21.28515625" style="1" customWidth="1"/>
    <col min="7" max="7" width="17.5703125" style="1" customWidth="1"/>
    <col min="8" max="16384" width="11.42578125" style="1"/>
  </cols>
  <sheetData>
    <row r="1" spans="1:9" x14ac:dyDescent="0.25">
      <c r="A1" s="68" t="s">
        <v>76</v>
      </c>
      <c r="B1" s="68" t="s">
        <v>77</v>
      </c>
      <c r="C1" s="68" t="s">
        <v>78</v>
      </c>
      <c r="D1" s="68" t="s">
        <v>79</v>
      </c>
      <c r="E1" s="68" t="s">
        <v>80</v>
      </c>
      <c r="F1" s="68" t="s">
        <v>81</v>
      </c>
      <c r="G1" s="68" t="s">
        <v>82</v>
      </c>
      <c r="H1" s="68" t="s">
        <v>83</v>
      </c>
      <c r="I1" s="68" t="s">
        <v>93</v>
      </c>
    </row>
    <row r="2" spans="1:9" x14ac:dyDescent="0.25">
      <c r="A2" s="46" t="s">
        <v>84</v>
      </c>
      <c r="B2" s="1">
        <v>2</v>
      </c>
      <c r="C2" s="1">
        <v>5</v>
      </c>
      <c r="D2" s="1" t="s">
        <v>85</v>
      </c>
      <c r="E2" s="1">
        <v>22853</v>
      </c>
      <c r="F2" s="1">
        <f t="shared" ref="F2:F36" si="0">E2/10325421*100</f>
        <v>0.22132753715320663</v>
      </c>
      <c r="G2" s="1">
        <v>69.89</v>
      </c>
      <c r="H2" s="1">
        <v>9.73</v>
      </c>
      <c r="I2" s="47"/>
    </row>
    <row r="3" spans="1:9" x14ac:dyDescent="0.25">
      <c r="A3" s="46" t="s">
        <v>86</v>
      </c>
      <c r="B3" s="1">
        <v>2</v>
      </c>
      <c r="C3" s="1">
        <v>5</v>
      </c>
      <c r="D3" s="1" t="s">
        <v>85</v>
      </c>
      <c r="E3" s="1">
        <v>39225</v>
      </c>
      <c r="F3" s="1">
        <f t="shared" si="0"/>
        <v>0.37988765784949591</v>
      </c>
      <c r="G3" s="1">
        <v>67.53</v>
      </c>
      <c r="H3" s="1">
        <v>8.58</v>
      </c>
      <c r="I3" s="47"/>
    </row>
    <row r="4" spans="1:9" x14ac:dyDescent="0.25">
      <c r="A4" s="46" t="s">
        <v>87</v>
      </c>
      <c r="B4" s="1">
        <v>2</v>
      </c>
      <c r="C4" s="1">
        <v>5</v>
      </c>
      <c r="D4" s="1" t="s">
        <v>85</v>
      </c>
      <c r="E4" s="1">
        <v>37332</v>
      </c>
      <c r="F4" s="1">
        <f t="shared" si="0"/>
        <v>0.36155426495442655</v>
      </c>
      <c r="G4" s="1">
        <v>66.73</v>
      </c>
      <c r="H4" s="1">
        <v>8.5299999999999994</v>
      </c>
      <c r="I4" s="47"/>
    </row>
    <row r="5" spans="1:9" x14ac:dyDescent="0.25">
      <c r="A5" s="46" t="s">
        <v>88</v>
      </c>
      <c r="B5" s="1">
        <v>2</v>
      </c>
      <c r="C5" s="1">
        <v>5</v>
      </c>
      <c r="D5" s="1" t="s">
        <v>85</v>
      </c>
      <c r="E5" s="1">
        <v>18853</v>
      </c>
      <c r="F5" s="1">
        <f t="shared" si="0"/>
        <v>0.18258819664592854</v>
      </c>
      <c r="G5" s="1">
        <v>61.84</v>
      </c>
      <c r="H5" s="1">
        <v>9.27</v>
      </c>
      <c r="I5" s="47"/>
    </row>
    <row r="6" spans="1:9" x14ac:dyDescent="0.25">
      <c r="A6" s="46" t="s">
        <v>89</v>
      </c>
      <c r="B6" s="1">
        <v>2</v>
      </c>
      <c r="C6" s="1">
        <v>5</v>
      </c>
      <c r="D6" s="1" t="s">
        <v>85</v>
      </c>
      <c r="E6" s="1">
        <v>20843</v>
      </c>
      <c r="F6" s="1">
        <f t="shared" si="0"/>
        <v>0.20186101854829935</v>
      </c>
      <c r="G6" s="1">
        <v>60.54</v>
      </c>
      <c r="H6" s="1">
        <v>9.6999999999999993</v>
      </c>
      <c r="I6" s="47"/>
    </row>
    <row r="7" spans="1:9" x14ac:dyDescent="0.25">
      <c r="A7" s="46" t="s">
        <v>90</v>
      </c>
      <c r="B7" s="1">
        <v>2</v>
      </c>
      <c r="C7" s="1">
        <v>5</v>
      </c>
      <c r="D7" s="1" t="s">
        <v>85</v>
      </c>
      <c r="E7" s="1">
        <v>15354</v>
      </c>
      <c r="F7" s="1">
        <f t="shared" si="0"/>
        <v>0.14870095853718701</v>
      </c>
      <c r="G7" s="1">
        <v>62.65</v>
      </c>
      <c r="H7" s="1">
        <v>9.5299999999999994</v>
      </c>
      <c r="I7" s="47"/>
    </row>
    <row r="8" spans="1:9" x14ac:dyDescent="0.25">
      <c r="A8" s="48" t="s">
        <v>91</v>
      </c>
      <c r="B8" s="4">
        <v>2</v>
      </c>
      <c r="C8" s="4">
        <v>5</v>
      </c>
      <c r="D8" s="4" t="s">
        <v>85</v>
      </c>
      <c r="E8" s="4">
        <v>19026</v>
      </c>
      <c r="F8" s="4">
        <f t="shared" si="0"/>
        <v>0.18426367312286829</v>
      </c>
      <c r="G8" s="4">
        <v>55.36</v>
      </c>
      <c r="H8" s="4">
        <v>10.9</v>
      </c>
      <c r="I8" s="49">
        <v>1868</v>
      </c>
    </row>
    <row r="9" spans="1:9" x14ac:dyDescent="0.25">
      <c r="A9" s="46" t="s">
        <v>84</v>
      </c>
      <c r="B9" s="1">
        <v>5</v>
      </c>
      <c r="C9" s="1">
        <v>5</v>
      </c>
      <c r="D9" s="1" t="s">
        <v>85</v>
      </c>
      <c r="E9" s="1">
        <v>405437</v>
      </c>
      <c r="F9" s="1">
        <f t="shared" si="0"/>
        <v>3.9265904993123284</v>
      </c>
      <c r="G9" s="1">
        <v>78.78</v>
      </c>
      <c r="H9" s="1">
        <v>6.29</v>
      </c>
      <c r="I9" s="47"/>
    </row>
    <row r="10" spans="1:9" x14ac:dyDescent="0.25">
      <c r="A10" s="46" t="s">
        <v>86</v>
      </c>
      <c r="B10" s="1">
        <v>5</v>
      </c>
      <c r="C10" s="1">
        <v>5</v>
      </c>
      <c r="D10" s="1" t="s">
        <v>85</v>
      </c>
      <c r="E10" s="1">
        <v>751733</v>
      </c>
      <c r="F10" s="1">
        <f t="shared" si="0"/>
        <v>7.2804101643894228</v>
      </c>
      <c r="G10" s="1">
        <v>77.14</v>
      </c>
      <c r="H10" s="1">
        <v>6.08</v>
      </c>
      <c r="I10" s="47"/>
    </row>
    <row r="11" spans="1:9" x14ac:dyDescent="0.25">
      <c r="A11" s="46" t="s">
        <v>87</v>
      </c>
      <c r="B11" s="1">
        <v>5</v>
      </c>
      <c r="C11" s="1">
        <v>5</v>
      </c>
      <c r="D11" s="1" t="s">
        <v>85</v>
      </c>
      <c r="E11" s="1">
        <v>743812</v>
      </c>
      <c r="F11" s="1">
        <f t="shared" si="0"/>
        <v>7.2036965853498849</v>
      </c>
      <c r="G11" s="1">
        <v>77.680000000000007</v>
      </c>
      <c r="H11" s="1">
        <v>6.04</v>
      </c>
      <c r="I11" s="47"/>
    </row>
    <row r="12" spans="1:9" x14ac:dyDescent="0.25">
      <c r="A12" s="46" t="s">
        <v>88</v>
      </c>
      <c r="B12" s="1">
        <v>5</v>
      </c>
      <c r="C12" s="1">
        <v>5</v>
      </c>
      <c r="D12" s="1" t="s">
        <v>85</v>
      </c>
      <c r="E12" s="1">
        <v>381652</v>
      </c>
      <c r="F12" s="1">
        <f t="shared" si="0"/>
        <v>3.6962366958209261</v>
      </c>
      <c r="G12" s="1">
        <v>76.11</v>
      </c>
      <c r="H12" s="1">
        <v>6.04</v>
      </c>
      <c r="I12" s="47"/>
    </row>
    <row r="13" spans="1:9" x14ac:dyDescent="0.25">
      <c r="A13" s="46" t="s">
        <v>89</v>
      </c>
      <c r="B13" s="1">
        <v>5</v>
      </c>
      <c r="C13" s="1">
        <v>5</v>
      </c>
      <c r="D13" s="1" t="s">
        <v>85</v>
      </c>
      <c r="E13" s="1">
        <v>425607</v>
      </c>
      <c r="F13" s="1">
        <f t="shared" si="0"/>
        <v>4.1219336238202775</v>
      </c>
      <c r="G13" s="1">
        <v>79.37</v>
      </c>
      <c r="H13" s="1">
        <v>6</v>
      </c>
      <c r="I13" s="47"/>
    </row>
    <row r="14" spans="1:9" x14ac:dyDescent="0.25">
      <c r="A14" s="46" t="s">
        <v>90</v>
      </c>
      <c r="B14" s="1">
        <v>5</v>
      </c>
      <c r="C14" s="1">
        <v>5</v>
      </c>
      <c r="D14" s="1" t="s">
        <v>85</v>
      </c>
      <c r="E14" s="1">
        <v>307825</v>
      </c>
      <c r="F14" s="1">
        <f t="shared" si="0"/>
        <v>2.9812343729132209</v>
      </c>
      <c r="G14" s="1">
        <v>78.37</v>
      </c>
      <c r="H14" s="1">
        <v>6.06</v>
      </c>
      <c r="I14" s="47"/>
    </row>
    <row r="15" spans="1:9" x14ac:dyDescent="0.25">
      <c r="A15" s="48" t="s">
        <v>91</v>
      </c>
      <c r="B15" s="4">
        <v>5</v>
      </c>
      <c r="C15" s="4">
        <v>5</v>
      </c>
      <c r="D15" s="4" t="s">
        <v>85</v>
      </c>
      <c r="E15" s="4">
        <v>389689</v>
      </c>
      <c r="F15" s="4">
        <f t="shared" si="0"/>
        <v>3.7740737157351747</v>
      </c>
      <c r="G15" s="4">
        <v>77.41</v>
      </c>
      <c r="H15" s="4">
        <v>6.07</v>
      </c>
      <c r="I15" s="49">
        <v>10433</v>
      </c>
    </row>
    <row r="16" spans="1:9" x14ac:dyDescent="0.25">
      <c r="A16" s="46" t="s">
        <v>84</v>
      </c>
      <c r="B16" s="1">
        <v>10</v>
      </c>
      <c r="C16" s="1">
        <v>5</v>
      </c>
      <c r="D16" s="1" t="s">
        <v>85</v>
      </c>
      <c r="E16" s="1">
        <v>2683106</v>
      </c>
      <c r="F16" s="1">
        <f t="shared" si="0"/>
        <v>25.985439237780234</v>
      </c>
      <c r="G16" s="1">
        <v>79.489999999999995</v>
      </c>
      <c r="H16" s="1">
        <v>7.86</v>
      </c>
      <c r="I16" s="47"/>
    </row>
    <row r="17" spans="1:9" x14ac:dyDescent="0.25">
      <c r="A17" s="46" t="s">
        <v>86</v>
      </c>
      <c r="B17" s="1">
        <v>10</v>
      </c>
      <c r="C17" s="1">
        <v>5</v>
      </c>
      <c r="D17" s="1" t="s">
        <v>85</v>
      </c>
      <c r="E17" s="1">
        <v>3977559</v>
      </c>
      <c r="F17" s="1">
        <f t="shared" si="0"/>
        <v>38.522003122197148</v>
      </c>
      <c r="G17" s="1">
        <v>76.52</v>
      </c>
      <c r="H17" s="1">
        <v>7.08</v>
      </c>
      <c r="I17" s="47"/>
    </row>
    <row r="18" spans="1:9" x14ac:dyDescent="0.25">
      <c r="A18" s="46" t="s">
        <v>87</v>
      </c>
      <c r="B18" s="1">
        <v>10</v>
      </c>
      <c r="C18" s="1">
        <v>5</v>
      </c>
      <c r="D18" s="1" t="s">
        <v>85</v>
      </c>
      <c r="E18" s="1">
        <v>4009444</v>
      </c>
      <c r="F18" s="1">
        <f t="shared" si="0"/>
        <v>38.830804090215786</v>
      </c>
      <c r="G18" s="1">
        <v>77.06</v>
      </c>
      <c r="H18" s="1">
        <v>7.07</v>
      </c>
      <c r="I18" s="47"/>
    </row>
    <row r="19" spans="1:9" x14ac:dyDescent="0.25">
      <c r="A19" s="46" t="s">
        <v>88</v>
      </c>
      <c r="B19" s="1">
        <v>10</v>
      </c>
      <c r="C19" s="1">
        <v>5</v>
      </c>
      <c r="D19" s="1" t="s">
        <v>85</v>
      </c>
      <c r="E19" s="1">
        <v>2579923</v>
      </c>
      <c r="F19" s="1">
        <f t="shared" si="0"/>
        <v>24.98612889488961</v>
      </c>
      <c r="G19" s="1">
        <v>76.64</v>
      </c>
      <c r="H19" s="1">
        <v>7.72</v>
      </c>
      <c r="I19" s="47"/>
    </row>
    <row r="20" spans="1:9" x14ac:dyDescent="0.25">
      <c r="A20" s="46" t="s">
        <v>89</v>
      </c>
      <c r="B20" s="1">
        <v>10</v>
      </c>
      <c r="C20" s="1">
        <v>5</v>
      </c>
      <c r="D20" s="1" t="s">
        <v>85</v>
      </c>
      <c r="E20" s="1">
        <v>2728663</v>
      </c>
      <c r="F20" s="1">
        <f t="shared" si="0"/>
        <v>26.426651271652752</v>
      </c>
      <c r="G20" s="1">
        <v>79.92</v>
      </c>
      <c r="H20" s="1">
        <v>7.79</v>
      </c>
      <c r="I20" s="47"/>
    </row>
    <row r="21" spans="1:9" x14ac:dyDescent="0.25">
      <c r="A21" s="46" t="s">
        <v>90</v>
      </c>
      <c r="B21" s="1">
        <v>10</v>
      </c>
      <c r="C21" s="1">
        <v>5</v>
      </c>
      <c r="D21" s="1" t="s">
        <v>85</v>
      </c>
      <c r="E21" s="1">
        <v>2162134</v>
      </c>
      <c r="F21" s="1">
        <f t="shared" si="0"/>
        <v>20.939911312090807</v>
      </c>
      <c r="G21" s="1">
        <v>79.290000000000006</v>
      </c>
      <c r="H21" s="1">
        <v>7.56</v>
      </c>
      <c r="I21" s="47"/>
    </row>
    <row r="22" spans="1:9" x14ac:dyDescent="0.25">
      <c r="A22" s="48" t="s">
        <v>91</v>
      </c>
      <c r="B22" s="4">
        <v>10</v>
      </c>
      <c r="C22" s="4">
        <v>5</v>
      </c>
      <c r="D22" s="4" t="s">
        <v>85</v>
      </c>
      <c r="E22" s="4">
        <v>2665295</v>
      </c>
      <c r="F22" s="4">
        <f t="shared" si="0"/>
        <v>25.812942639336452</v>
      </c>
      <c r="G22" s="4">
        <v>78.069999999999993</v>
      </c>
      <c r="H22" s="4">
        <v>7.75</v>
      </c>
      <c r="I22" s="49">
        <v>58582</v>
      </c>
    </row>
    <row r="23" spans="1:9" x14ac:dyDescent="0.25">
      <c r="A23" s="46" t="s">
        <v>84</v>
      </c>
      <c r="B23" s="1">
        <v>15</v>
      </c>
      <c r="C23" s="1">
        <v>5</v>
      </c>
      <c r="D23" s="1" t="s">
        <v>85</v>
      </c>
      <c r="E23" s="1">
        <v>5390052</v>
      </c>
      <c r="F23" s="1">
        <f t="shared" si="0"/>
        <v>52.201764944983843</v>
      </c>
      <c r="G23" s="1">
        <v>77.89</v>
      </c>
      <c r="H23" s="1">
        <v>7.96</v>
      </c>
      <c r="I23" s="47"/>
    </row>
    <row r="24" spans="1:9" x14ac:dyDescent="0.25">
      <c r="A24" s="46" t="s">
        <v>86</v>
      </c>
      <c r="B24" s="1">
        <v>15</v>
      </c>
      <c r="C24" s="1">
        <v>5</v>
      </c>
      <c r="D24" s="1" t="s">
        <v>85</v>
      </c>
      <c r="E24" s="1">
        <v>6761985</v>
      </c>
      <c r="F24" s="1">
        <f t="shared" si="0"/>
        <v>65.488709855026741</v>
      </c>
      <c r="G24" s="1">
        <v>76.08</v>
      </c>
      <c r="H24" s="1">
        <v>8.99</v>
      </c>
      <c r="I24" s="47"/>
    </row>
    <row r="25" spans="1:9" x14ac:dyDescent="0.25">
      <c r="A25" s="46" t="s">
        <v>87</v>
      </c>
      <c r="B25" s="1">
        <v>15</v>
      </c>
      <c r="C25" s="1">
        <v>5</v>
      </c>
      <c r="D25" s="1" t="s">
        <v>85</v>
      </c>
      <c r="E25" s="1">
        <v>6841106</v>
      </c>
      <c r="F25" s="1">
        <f t="shared" si="0"/>
        <v>66.254983695095831</v>
      </c>
      <c r="G25" s="1">
        <v>76.61</v>
      </c>
      <c r="H25" s="1">
        <v>9.0399999999999991</v>
      </c>
      <c r="I25" s="47"/>
    </row>
    <row r="26" spans="1:9" x14ac:dyDescent="0.25">
      <c r="A26" s="46" t="s">
        <v>88</v>
      </c>
      <c r="B26" s="1">
        <v>15</v>
      </c>
      <c r="C26" s="1">
        <v>5</v>
      </c>
      <c r="D26" s="1" t="s">
        <v>85</v>
      </c>
      <c r="E26" s="1">
        <v>5270260</v>
      </c>
      <c r="F26" s="1">
        <f t="shared" si="0"/>
        <v>51.041599175471873</v>
      </c>
      <c r="G26" s="1">
        <v>74.91</v>
      </c>
      <c r="H26" s="1">
        <v>7.8</v>
      </c>
      <c r="I26" s="47"/>
    </row>
    <row r="27" spans="1:9" x14ac:dyDescent="0.25">
      <c r="A27" s="46" t="s">
        <v>89</v>
      </c>
      <c r="B27" s="1">
        <v>15</v>
      </c>
      <c r="C27" s="1">
        <v>5</v>
      </c>
      <c r="D27" s="1" t="s">
        <v>85</v>
      </c>
      <c r="E27" s="1">
        <v>5389978</v>
      </c>
      <c r="F27" s="1">
        <f t="shared" si="0"/>
        <v>52.201048267184461</v>
      </c>
      <c r="G27" s="1">
        <v>78.23</v>
      </c>
      <c r="H27" s="1">
        <v>7.9</v>
      </c>
      <c r="I27" s="47"/>
    </row>
    <row r="28" spans="1:9" x14ac:dyDescent="0.25">
      <c r="A28" s="46" t="s">
        <v>90</v>
      </c>
      <c r="B28" s="1">
        <v>15</v>
      </c>
      <c r="C28" s="1">
        <v>5</v>
      </c>
      <c r="D28" s="1" t="s">
        <v>85</v>
      </c>
      <c r="E28" s="1">
        <v>4616407</v>
      </c>
      <c r="F28" s="1">
        <f t="shared" si="0"/>
        <v>44.709140673295551</v>
      </c>
      <c r="G28" s="1">
        <v>77.72</v>
      </c>
      <c r="H28" s="1">
        <v>7.46</v>
      </c>
      <c r="I28" s="47"/>
    </row>
    <row r="29" spans="1:9" x14ac:dyDescent="0.25">
      <c r="A29" s="48" t="s">
        <v>91</v>
      </c>
      <c r="B29" s="4">
        <v>15</v>
      </c>
      <c r="C29" s="4">
        <v>5</v>
      </c>
      <c r="D29" s="4" t="s">
        <v>85</v>
      </c>
      <c r="E29" s="4">
        <v>5422002</v>
      </c>
      <c r="F29" s="4">
        <f t="shared" si="0"/>
        <v>52.511195427285728</v>
      </c>
      <c r="G29" s="4">
        <v>76.430000000000007</v>
      </c>
      <c r="H29" s="4">
        <v>7.88</v>
      </c>
      <c r="I29" s="49">
        <v>773211</v>
      </c>
    </row>
    <row r="30" spans="1:9" x14ac:dyDescent="0.25">
      <c r="A30" s="46" t="s">
        <v>84</v>
      </c>
      <c r="B30" s="1">
        <v>30</v>
      </c>
      <c r="C30" s="1">
        <v>5</v>
      </c>
      <c r="D30" s="1" t="s">
        <v>85</v>
      </c>
      <c r="E30" s="1">
        <v>8959584</v>
      </c>
      <c r="F30" s="1">
        <f t="shared" si="0"/>
        <v>86.772093844890193</v>
      </c>
      <c r="G30" s="1">
        <v>76.13</v>
      </c>
      <c r="H30" s="1">
        <v>13.71</v>
      </c>
      <c r="I30" s="47"/>
    </row>
    <row r="31" spans="1:9" x14ac:dyDescent="0.25">
      <c r="A31" s="46" t="s">
        <v>86</v>
      </c>
      <c r="B31" s="1">
        <v>30</v>
      </c>
      <c r="C31" s="1">
        <v>5</v>
      </c>
      <c r="D31" s="1" t="s">
        <v>85</v>
      </c>
      <c r="E31" s="1">
        <v>9173132</v>
      </c>
      <c r="F31" s="1">
        <f t="shared" si="0"/>
        <v>88.840271016552251</v>
      </c>
      <c r="G31" s="1">
        <v>74.58</v>
      </c>
      <c r="H31" s="1">
        <v>14.88</v>
      </c>
      <c r="I31" s="47"/>
    </row>
    <row r="32" spans="1:9" x14ac:dyDescent="0.25">
      <c r="A32" s="46" t="s">
        <v>87</v>
      </c>
      <c r="B32" s="1">
        <v>30</v>
      </c>
      <c r="C32" s="1">
        <v>5</v>
      </c>
      <c r="D32" s="1" t="s">
        <v>85</v>
      </c>
      <c r="E32" s="1">
        <v>8406922</v>
      </c>
      <c r="F32" s="1">
        <f t="shared" si="0"/>
        <v>81.419653494031863</v>
      </c>
      <c r="G32" s="1">
        <v>74.81</v>
      </c>
      <c r="H32" s="1">
        <v>15.21</v>
      </c>
      <c r="I32" s="47"/>
    </row>
    <row r="33" spans="1:9" x14ac:dyDescent="0.25">
      <c r="A33" s="46" t="s">
        <v>88</v>
      </c>
      <c r="B33" s="1">
        <v>30</v>
      </c>
      <c r="C33" s="1">
        <v>5</v>
      </c>
      <c r="D33" s="1" t="s">
        <v>85</v>
      </c>
      <c r="E33" s="1">
        <v>8141079</v>
      </c>
      <c r="F33" s="1">
        <f t="shared" si="0"/>
        <v>78.845007869412782</v>
      </c>
      <c r="G33" s="1">
        <v>74.08</v>
      </c>
      <c r="H33" s="1">
        <v>13.81</v>
      </c>
      <c r="I33" s="47"/>
    </row>
    <row r="34" spans="1:9" x14ac:dyDescent="0.25">
      <c r="A34" s="46" t="s">
        <v>89</v>
      </c>
      <c r="B34" s="1">
        <v>30</v>
      </c>
      <c r="C34" s="1">
        <v>5</v>
      </c>
      <c r="D34" s="1" t="s">
        <v>85</v>
      </c>
      <c r="E34" s="1">
        <v>8806546</v>
      </c>
      <c r="F34" s="1">
        <f t="shared" si="0"/>
        <v>85.289946046751993</v>
      </c>
      <c r="G34" s="1">
        <v>76.22</v>
      </c>
      <c r="H34" s="1">
        <v>13.28</v>
      </c>
      <c r="I34" s="47"/>
    </row>
    <row r="35" spans="1:9" x14ac:dyDescent="0.25">
      <c r="A35" s="46" t="s">
        <v>90</v>
      </c>
      <c r="B35" s="1">
        <v>30</v>
      </c>
      <c r="C35" s="1">
        <v>5</v>
      </c>
      <c r="D35" s="1" t="s">
        <v>85</v>
      </c>
      <c r="E35" s="1">
        <v>8698223</v>
      </c>
      <c r="F35" s="1">
        <f t="shared" si="0"/>
        <v>84.240855651309516</v>
      </c>
      <c r="G35" s="1">
        <v>76.72</v>
      </c>
      <c r="H35" s="1">
        <v>14.47</v>
      </c>
      <c r="I35" s="47"/>
    </row>
    <row r="36" spans="1:9" x14ac:dyDescent="0.25">
      <c r="A36" s="48" t="s">
        <v>91</v>
      </c>
      <c r="B36" s="4">
        <v>30</v>
      </c>
      <c r="C36" s="4">
        <v>5</v>
      </c>
      <c r="D36" s="4" t="s">
        <v>85</v>
      </c>
      <c r="E36" s="4">
        <v>8966857</v>
      </c>
      <c r="F36" s="4">
        <f t="shared" si="0"/>
        <v>86.842531650767555</v>
      </c>
      <c r="G36" s="4">
        <v>74.83</v>
      </c>
      <c r="H36" s="4">
        <v>13.65</v>
      </c>
      <c r="I36" s="49">
        <v>6278338</v>
      </c>
    </row>
    <row r="37" spans="1:9" x14ac:dyDescent="0.25">
      <c r="A37" s="46" t="s">
        <v>84</v>
      </c>
      <c r="B37" s="1">
        <v>2</v>
      </c>
      <c r="C37" s="1">
        <v>5</v>
      </c>
      <c r="D37" s="1" t="s">
        <v>92</v>
      </c>
      <c r="E37" s="1">
        <v>92446</v>
      </c>
      <c r="F37" s="1">
        <f t="shared" ref="F37:F71" si="1">E37/10325421*100</f>
        <v>0.89532426813395782</v>
      </c>
      <c r="G37" s="1">
        <v>79.180000000000007</v>
      </c>
      <c r="H37" s="1">
        <v>5.38</v>
      </c>
      <c r="I37" s="47"/>
    </row>
    <row r="38" spans="1:9" x14ac:dyDescent="0.25">
      <c r="A38" s="46" t="s">
        <v>86</v>
      </c>
      <c r="B38" s="1">
        <v>2</v>
      </c>
      <c r="C38" s="1">
        <v>5</v>
      </c>
      <c r="D38" s="1" t="s">
        <v>92</v>
      </c>
      <c r="E38" s="1">
        <v>182064</v>
      </c>
      <c r="F38" s="1">
        <f t="shared" si="1"/>
        <v>1.7632598225292704</v>
      </c>
      <c r="G38" s="1">
        <v>77.38</v>
      </c>
      <c r="H38" s="1">
        <v>5.44</v>
      </c>
      <c r="I38" s="47"/>
    </row>
    <row r="39" spans="1:9" x14ac:dyDescent="0.25">
      <c r="A39" s="46" t="s">
        <v>87</v>
      </c>
      <c r="B39" s="1">
        <v>2</v>
      </c>
      <c r="C39" s="1">
        <v>5</v>
      </c>
      <c r="D39" s="1" t="s">
        <v>92</v>
      </c>
      <c r="E39" s="1">
        <v>174550</v>
      </c>
      <c r="F39" s="1">
        <f t="shared" si="1"/>
        <v>1.6904879713863483</v>
      </c>
      <c r="G39" s="1">
        <v>78.06</v>
      </c>
      <c r="H39" s="1">
        <v>5.39</v>
      </c>
      <c r="I39" s="47"/>
    </row>
    <row r="40" spans="1:9" x14ac:dyDescent="0.25">
      <c r="A40" s="46" t="s">
        <v>88</v>
      </c>
      <c r="B40" s="1">
        <v>2</v>
      </c>
      <c r="C40" s="1">
        <v>5</v>
      </c>
      <c r="D40" s="1" t="s">
        <v>92</v>
      </c>
      <c r="E40" s="1">
        <v>84544</v>
      </c>
      <c r="F40" s="1">
        <f t="shared" si="1"/>
        <v>0.81879470096183005</v>
      </c>
      <c r="G40" s="1">
        <v>76.349999999999994</v>
      </c>
      <c r="H40" s="1">
        <v>5.31</v>
      </c>
      <c r="I40" s="47"/>
    </row>
    <row r="41" spans="1:9" x14ac:dyDescent="0.25">
      <c r="A41" s="46" t="s">
        <v>89</v>
      </c>
      <c r="B41" s="1">
        <v>2</v>
      </c>
      <c r="C41" s="1">
        <v>5</v>
      </c>
      <c r="D41" s="1" t="s">
        <v>92</v>
      </c>
      <c r="E41" s="1">
        <v>93528</v>
      </c>
      <c r="F41" s="1">
        <f t="shared" si="1"/>
        <v>0.9058032597411767</v>
      </c>
      <c r="G41" s="1">
        <v>79.599999999999994</v>
      </c>
      <c r="H41" s="1">
        <v>5.31</v>
      </c>
      <c r="I41" s="47"/>
    </row>
    <row r="42" spans="1:9" x14ac:dyDescent="0.25">
      <c r="A42" s="46" t="s">
        <v>90</v>
      </c>
      <c r="B42" s="1">
        <v>2</v>
      </c>
      <c r="C42" s="1">
        <v>5</v>
      </c>
      <c r="D42" s="1" t="s">
        <v>92</v>
      </c>
      <c r="E42" s="1">
        <v>62715</v>
      </c>
      <c r="F42" s="1">
        <f t="shared" si="1"/>
        <v>0.6073844349784866</v>
      </c>
      <c r="G42" s="1">
        <v>79.02</v>
      </c>
      <c r="H42" s="1">
        <v>5.2</v>
      </c>
      <c r="I42" s="47"/>
    </row>
    <row r="43" spans="1:9" x14ac:dyDescent="0.25">
      <c r="A43" s="48" t="s">
        <v>91</v>
      </c>
      <c r="B43" s="4">
        <v>2</v>
      </c>
      <c r="C43" s="4">
        <v>5</v>
      </c>
      <c r="D43" s="4" t="s">
        <v>92</v>
      </c>
      <c r="E43" s="4">
        <v>84978</v>
      </c>
      <c r="F43" s="4">
        <f t="shared" si="1"/>
        <v>0.82299791940686973</v>
      </c>
      <c r="G43" s="4">
        <v>77.569999999999993</v>
      </c>
      <c r="H43" s="4">
        <v>5.3</v>
      </c>
      <c r="I43" s="49">
        <v>15</v>
      </c>
    </row>
    <row r="44" spans="1:9" x14ac:dyDescent="0.25">
      <c r="A44" s="46" t="s">
        <v>84</v>
      </c>
      <c r="B44" s="1">
        <v>5</v>
      </c>
      <c r="C44" s="1">
        <v>5</v>
      </c>
      <c r="D44" s="1" t="s">
        <v>92</v>
      </c>
      <c r="E44" s="1">
        <v>1556899</v>
      </c>
      <c r="F44" s="1">
        <f t="shared" si="1"/>
        <v>15.078310124110194</v>
      </c>
      <c r="G44" s="1">
        <v>78.599999999999994</v>
      </c>
      <c r="H44" s="1">
        <v>5.88</v>
      </c>
      <c r="I44" s="47"/>
    </row>
    <row r="45" spans="1:9" x14ac:dyDescent="0.25">
      <c r="A45" s="46" t="s">
        <v>86</v>
      </c>
      <c r="B45" s="1">
        <v>5</v>
      </c>
      <c r="C45" s="1">
        <v>5</v>
      </c>
      <c r="D45" s="1" t="s">
        <v>92</v>
      </c>
      <c r="E45" s="1">
        <v>2484571</v>
      </c>
      <c r="F45" s="1">
        <f t="shared" si="1"/>
        <v>24.062660495877118</v>
      </c>
      <c r="G45" s="1">
        <v>76.81</v>
      </c>
      <c r="H45" s="1">
        <v>6.08</v>
      </c>
      <c r="I45" s="47"/>
    </row>
    <row r="46" spans="1:9" x14ac:dyDescent="0.25">
      <c r="A46" s="46" t="s">
        <v>87</v>
      </c>
      <c r="B46" s="1">
        <v>5</v>
      </c>
      <c r="C46" s="1">
        <v>5</v>
      </c>
      <c r="D46" s="1" t="s">
        <v>92</v>
      </c>
      <c r="E46" s="1">
        <v>2453203</v>
      </c>
      <c r="F46" s="1">
        <f t="shared" si="1"/>
        <v>23.758866587619043</v>
      </c>
      <c r="G46" s="1">
        <v>77.31</v>
      </c>
      <c r="H46" s="1">
        <v>6.07</v>
      </c>
      <c r="I46" s="47"/>
    </row>
    <row r="47" spans="1:9" x14ac:dyDescent="0.25">
      <c r="A47" s="46" t="s">
        <v>88</v>
      </c>
      <c r="B47" s="1">
        <v>5</v>
      </c>
      <c r="C47" s="1">
        <v>5</v>
      </c>
      <c r="D47" s="1" t="s">
        <v>92</v>
      </c>
      <c r="E47" s="1">
        <v>1498469</v>
      </c>
      <c r="F47" s="1">
        <f t="shared" si="1"/>
        <v>14.512425207650129</v>
      </c>
      <c r="G47" s="1">
        <v>75.72</v>
      </c>
      <c r="H47" s="1">
        <v>5.84</v>
      </c>
      <c r="I47" s="47"/>
    </row>
    <row r="48" spans="1:9" x14ac:dyDescent="0.25">
      <c r="A48" s="46" t="s">
        <v>89</v>
      </c>
      <c r="B48" s="1">
        <v>5</v>
      </c>
      <c r="C48" s="1">
        <v>5</v>
      </c>
      <c r="D48" s="1" t="s">
        <v>92</v>
      </c>
      <c r="E48" s="1">
        <v>1593062</v>
      </c>
      <c r="F48" s="1">
        <f t="shared" si="1"/>
        <v>15.428542816801368</v>
      </c>
      <c r="G48" s="1">
        <v>79.03</v>
      </c>
      <c r="H48" s="1">
        <v>5.87</v>
      </c>
      <c r="I48" s="47"/>
    </row>
    <row r="49" spans="1:9" x14ac:dyDescent="0.25">
      <c r="A49" s="46" t="s">
        <v>90</v>
      </c>
      <c r="B49" s="1">
        <v>5</v>
      </c>
      <c r="C49" s="1">
        <v>5</v>
      </c>
      <c r="D49" s="1" t="s">
        <v>92</v>
      </c>
      <c r="E49" s="1">
        <v>1229657</v>
      </c>
      <c r="F49" s="1">
        <f t="shared" si="1"/>
        <v>11.909025307539519</v>
      </c>
      <c r="G49" s="1">
        <v>78.47</v>
      </c>
      <c r="H49" s="1">
        <v>5.77</v>
      </c>
      <c r="I49" s="47"/>
    </row>
    <row r="50" spans="1:9" x14ac:dyDescent="0.25">
      <c r="A50" s="48" t="s">
        <v>91</v>
      </c>
      <c r="B50" s="4">
        <v>5</v>
      </c>
      <c r="C50" s="4">
        <v>5</v>
      </c>
      <c r="D50" s="4" t="s">
        <v>92</v>
      </c>
      <c r="E50" s="4">
        <v>1531547</v>
      </c>
      <c r="F50" s="4">
        <f t="shared" si="1"/>
        <v>14.832780183975064</v>
      </c>
      <c r="G50" s="4">
        <v>77.16</v>
      </c>
      <c r="H50" s="4">
        <v>5.84</v>
      </c>
      <c r="I50" s="49">
        <v>9151</v>
      </c>
    </row>
    <row r="51" spans="1:9" x14ac:dyDescent="0.25">
      <c r="A51" s="46" t="s">
        <v>84</v>
      </c>
      <c r="B51" s="1">
        <v>10</v>
      </c>
      <c r="C51" s="1">
        <v>5</v>
      </c>
      <c r="D51" s="1" t="s">
        <v>92</v>
      </c>
      <c r="E51" s="1">
        <v>5536020</v>
      </c>
      <c r="F51" s="1">
        <f t="shared" si="1"/>
        <v>53.61544095877543</v>
      </c>
      <c r="G51" s="1">
        <v>78.73</v>
      </c>
      <c r="H51" s="1">
        <v>9.4499999999999993</v>
      </c>
      <c r="I51" s="47"/>
    </row>
    <row r="52" spans="1:9" x14ac:dyDescent="0.25">
      <c r="A52" s="46" t="s">
        <v>86</v>
      </c>
      <c r="B52" s="1">
        <v>10</v>
      </c>
      <c r="C52" s="1">
        <v>5</v>
      </c>
      <c r="D52" s="1" t="s">
        <v>92</v>
      </c>
      <c r="E52" s="1">
        <v>6844212</v>
      </c>
      <c r="F52" s="1">
        <f t="shared" si="1"/>
        <v>66.285064792999719</v>
      </c>
      <c r="G52" s="1">
        <v>75.77</v>
      </c>
      <c r="H52" s="1">
        <v>7.72</v>
      </c>
      <c r="I52" s="47"/>
    </row>
    <row r="53" spans="1:9" x14ac:dyDescent="0.25">
      <c r="A53" s="46" t="s">
        <v>87</v>
      </c>
      <c r="B53" s="1">
        <v>10</v>
      </c>
      <c r="C53" s="1">
        <v>5</v>
      </c>
      <c r="D53" s="1" t="s">
        <v>92</v>
      </c>
      <c r="E53" s="1">
        <v>6862907</v>
      </c>
      <c r="F53" s="1">
        <f t="shared" si="1"/>
        <v>66.466122785695617</v>
      </c>
      <c r="G53" s="1">
        <v>76.319999999999993</v>
      </c>
      <c r="H53" s="1">
        <v>7.72</v>
      </c>
      <c r="I53" s="47"/>
    </row>
    <row r="54" spans="1:9" x14ac:dyDescent="0.25">
      <c r="A54" s="46" t="s">
        <v>88</v>
      </c>
      <c r="B54" s="1">
        <v>10</v>
      </c>
      <c r="C54" s="1">
        <v>5</v>
      </c>
      <c r="D54" s="1" t="s">
        <v>92</v>
      </c>
      <c r="E54" s="1">
        <v>5463867</v>
      </c>
      <c r="F54" s="1">
        <f t="shared" si="1"/>
        <v>52.916651049870026</v>
      </c>
      <c r="G54" s="1">
        <v>75.849999999999994</v>
      </c>
      <c r="H54" s="1">
        <v>9.34</v>
      </c>
      <c r="I54" s="47"/>
    </row>
    <row r="55" spans="1:9" x14ac:dyDescent="0.25">
      <c r="A55" s="46" t="s">
        <v>89</v>
      </c>
      <c r="B55" s="1">
        <v>10</v>
      </c>
      <c r="C55" s="1">
        <v>5</v>
      </c>
      <c r="D55" s="1" t="s">
        <v>92</v>
      </c>
      <c r="E55" s="1">
        <v>5554844</v>
      </c>
      <c r="F55" s="1">
        <f t="shared" si="1"/>
        <v>53.797748295202688</v>
      </c>
      <c r="G55" s="1">
        <v>79.06</v>
      </c>
      <c r="H55" s="1">
        <v>9.44</v>
      </c>
      <c r="I55" s="47"/>
    </row>
    <row r="56" spans="1:9" x14ac:dyDescent="0.25">
      <c r="A56" s="46" t="s">
        <v>90</v>
      </c>
      <c r="B56" s="1">
        <v>10</v>
      </c>
      <c r="C56" s="1">
        <v>5</v>
      </c>
      <c r="D56" s="1" t="s">
        <v>92</v>
      </c>
      <c r="E56" s="1">
        <v>4845682</v>
      </c>
      <c r="F56" s="1">
        <f t="shared" si="1"/>
        <v>46.929631246997097</v>
      </c>
      <c r="G56" s="1">
        <v>78.66</v>
      </c>
      <c r="H56" s="1">
        <v>9.09</v>
      </c>
      <c r="I56" s="47"/>
    </row>
    <row r="57" spans="1:9" x14ac:dyDescent="0.25">
      <c r="A57" s="48" t="s">
        <v>91</v>
      </c>
      <c r="B57" s="4">
        <v>10</v>
      </c>
      <c r="C57" s="4">
        <v>5</v>
      </c>
      <c r="D57" s="4" t="s">
        <v>92</v>
      </c>
      <c r="E57" s="4">
        <v>5564611</v>
      </c>
      <c r="F57" s="4">
        <f t="shared" si="1"/>
        <v>53.892340079886338</v>
      </c>
      <c r="G57" s="4">
        <v>77.319999999999993</v>
      </c>
      <c r="H57" s="4">
        <v>9.4</v>
      </c>
      <c r="I57" s="49">
        <v>872742</v>
      </c>
    </row>
    <row r="58" spans="1:9" x14ac:dyDescent="0.25">
      <c r="A58" s="46" t="s">
        <v>84</v>
      </c>
      <c r="B58" s="1">
        <v>15</v>
      </c>
      <c r="C58" s="1">
        <v>5</v>
      </c>
      <c r="D58" s="1" t="s">
        <v>92</v>
      </c>
      <c r="E58" s="1">
        <v>7801839</v>
      </c>
      <c r="F58" s="1">
        <f t="shared" si="1"/>
        <v>75.559524400990526</v>
      </c>
      <c r="G58" s="1">
        <v>77.75</v>
      </c>
      <c r="H58" s="1">
        <v>10.82</v>
      </c>
      <c r="I58" s="47"/>
    </row>
    <row r="59" spans="1:9" x14ac:dyDescent="0.25">
      <c r="A59" s="46" t="s">
        <v>86</v>
      </c>
      <c r="B59" s="1">
        <v>15</v>
      </c>
      <c r="C59" s="1">
        <v>5</v>
      </c>
      <c r="D59" s="1" t="s">
        <v>92</v>
      </c>
      <c r="E59" s="1">
        <v>8588464</v>
      </c>
      <c r="F59" s="1">
        <f t="shared" si="1"/>
        <v>83.177857832624937</v>
      </c>
      <c r="G59" s="1">
        <v>75.23</v>
      </c>
      <c r="H59" s="1">
        <v>9.7799999999999994</v>
      </c>
      <c r="I59" s="47"/>
    </row>
    <row r="60" spans="1:9" x14ac:dyDescent="0.25">
      <c r="A60" s="46" t="s">
        <v>87</v>
      </c>
      <c r="B60" s="1">
        <v>15</v>
      </c>
      <c r="C60" s="1">
        <v>5</v>
      </c>
      <c r="D60" s="1" t="s">
        <v>92</v>
      </c>
      <c r="E60" s="1">
        <v>8621838</v>
      </c>
      <c r="F60" s="1">
        <f t="shared" si="1"/>
        <v>83.501079520147414</v>
      </c>
      <c r="G60" s="1">
        <v>75.790000000000006</v>
      </c>
      <c r="H60" s="1">
        <v>9.84</v>
      </c>
      <c r="I60" s="47"/>
    </row>
    <row r="61" spans="1:9" x14ac:dyDescent="0.25">
      <c r="A61" s="46" t="s">
        <v>88</v>
      </c>
      <c r="B61" s="1">
        <v>15</v>
      </c>
      <c r="C61" s="1">
        <v>5</v>
      </c>
      <c r="D61" s="1" t="s">
        <v>92</v>
      </c>
      <c r="E61" s="1">
        <v>7773829</v>
      </c>
      <c r="F61" s="1">
        <f t="shared" si="1"/>
        <v>75.28825216908831</v>
      </c>
      <c r="G61" s="1">
        <v>74.78</v>
      </c>
      <c r="H61" s="1">
        <v>10.65</v>
      </c>
      <c r="I61" s="47"/>
    </row>
    <row r="62" spans="1:9" x14ac:dyDescent="0.25">
      <c r="A62" s="46" t="s">
        <v>89</v>
      </c>
      <c r="B62" s="1">
        <v>15</v>
      </c>
      <c r="C62" s="1">
        <v>5</v>
      </c>
      <c r="D62" s="1" t="s">
        <v>92</v>
      </c>
      <c r="E62" s="1">
        <v>7792892</v>
      </c>
      <c r="F62" s="1">
        <f t="shared" si="1"/>
        <v>75.472874181110868</v>
      </c>
      <c r="G62" s="1">
        <v>77.989999999999995</v>
      </c>
      <c r="H62" s="1">
        <v>10.77</v>
      </c>
      <c r="I62" s="47"/>
    </row>
    <row r="63" spans="1:9" x14ac:dyDescent="0.25">
      <c r="A63" s="46" t="s">
        <v>90</v>
      </c>
      <c r="B63" s="1">
        <v>15</v>
      </c>
      <c r="C63" s="1">
        <v>5</v>
      </c>
      <c r="D63" s="1" t="s">
        <v>92</v>
      </c>
      <c r="E63" s="1">
        <v>7243357</v>
      </c>
      <c r="F63" s="1">
        <f t="shared" si="1"/>
        <v>70.150718309694099</v>
      </c>
      <c r="G63" s="1">
        <v>77.61</v>
      </c>
      <c r="H63" s="1">
        <v>10.14</v>
      </c>
      <c r="I63" s="47"/>
    </row>
    <row r="64" spans="1:9" x14ac:dyDescent="0.25">
      <c r="A64" s="48" t="s">
        <v>91</v>
      </c>
      <c r="B64" s="4">
        <v>15</v>
      </c>
      <c r="C64" s="4">
        <v>5</v>
      </c>
      <c r="D64" s="4" t="s">
        <v>92</v>
      </c>
      <c r="E64" s="4">
        <v>7860884</v>
      </c>
      <c r="F64" s="4">
        <f t="shared" si="1"/>
        <v>76.131365491053586</v>
      </c>
      <c r="G64" s="4">
        <v>76.319999999999993</v>
      </c>
      <c r="H64" s="4">
        <v>10.77</v>
      </c>
      <c r="I64" s="49">
        <v>4097186</v>
      </c>
    </row>
    <row r="65" spans="1:9" x14ac:dyDescent="0.25">
      <c r="A65" s="46" t="s">
        <v>84</v>
      </c>
      <c r="B65" s="1">
        <v>30</v>
      </c>
      <c r="C65" s="1">
        <v>5</v>
      </c>
      <c r="D65" s="1" t="s">
        <v>92</v>
      </c>
      <c r="E65" s="1">
        <v>9489684</v>
      </c>
      <c r="F65" s="1">
        <f t="shared" si="1"/>
        <v>91.906024945617233</v>
      </c>
      <c r="G65" s="1">
        <v>76.349999999999994</v>
      </c>
      <c r="H65" s="1">
        <v>16.29</v>
      </c>
      <c r="I65" s="47"/>
    </row>
    <row r="66" spans="1:9" x14ac:dyDescent="0.25">
      <c r="A66" s="46" t="s">
        <v>86</v>
      </c>
      <c r="B66" s="1">
        <v>30</v>
      </c>
      <c r="C66" s="1">
        <v>5</v>
      </c>
      <c r="D66" s="1" t="s">
        <v>92</v>
      </c>
      <c r="E66" s="1">
        <v>9560569</v>
      </c>
      <c r="F66" s="1">
        <f t="shared" si="1"/>
        <v>92.592534483581829</v>
      </c>
      <c r="G66" s="1">
        <v>74.900000000000006</v>
      </c>
      <c r="H66" s="1">
        <v>17.55</v>
      </c>
      <c r="I66" s="47"/>
    </row>
    <row r="67" spans="1:9" x14ac:dyDescent="0.25">
      <c r="A67" s="46" t="s">
        <v>87</v>
      </c>
      <c r="B67" s="1">
        <v>30</v>
      </c>
      <c r="C67" s="1">
        <v>5</v>
      </c>
      <c r="D67" s="1" t="s">
        <v>92</v>
      </c>
      <c r="E67" s="1">
        <v>8689186</v>
      </c>
      <c r="F67" s="1">
        <f t="shared" si="1"/>
        <v>84.153333796268441</v>
      </c>
      <c r="G67" s="1">
        <v>74.41</v>
      </c>
      <c r="H67" s="1">
        <v>15.71</v>
      </c>
      <c r="I67" s="47"/>
    </row>
    <row r="68" spans="1:9" x14ac:dyDescent="0.25">
      <c r="A68" s="46" t="s">
        <v>88</v>
      </c>
      <c r="B68" s="1">
        <v>30</v>
      </c>
      <c r="C68" s="1">
        <v>5</v>
      </c>
      <c r="D68" s="1" t="s">
        <v>92</v>
      </c>
      <c r="E68" s="1">
        <v>8841019</v>
      </c>
      <c r="F68" s="1">
        <f t="shared" si="1"/>
        <v>85.623811368078833</v>
      </c>
      <c r="G68" s="1">
        <v>73.05</v>
      </c>
      <c r="H68" s="1">
        <v>17</v>
      </c>
      <c r="I68" s="47"/>
    </row>
    <row r="69" spans="1:9" x14ac:dyDescent="0.25">
      <c r="A69" s="46" t="s">
        <v>89</v>
      </c>
      <c r="B69" s="1">
        <v>30</v>
      </c>
      <c r="C69" s="1">
        <v>5</v>
      </c>
      <c r="D69" s="1" t="s">
        <v>92</v>
      </c>
      <c r="E69" s="1">
        <v>9379269</v>
      </c>
      <c r="F69" s="1">
        <f t="shared" si="1"/>
        <v>90.836673875089446</v>
      </c>
      <c r="G69" s="1">
        <v>76.36</v>
      </c>
      <c r="H69" s="1">
        <v>15.88</v>
      </c>
      <c r="I69" s="47"/>
    </row>
    <row r="70" spans="1:9" x14ac:dyDescent="0.25">
      <c r="A70" s="46" t="s">
        <v>90</v>
      </c>
      <c r="B70" s="1">
        <v>30</v>
      </c>
      <c r="C70" s="1">
        <v>5</v>
      </c>
      <c r="D70" s="1" t="s">
        <v>92</v>
      </c>
      <c r="E70" s="1">
        <v>9401769</v>
      </c>
      <c r="F70" s="1">
        <f t="shared" si="1"/>
        <v>91.054582665442894</v>
      </c>
      <c r="G70" s="1">
        <v>75.78</v>
      </c>
      <c r="H70" s="1">
        <v>17.66</v>
      </c>
      <c r="I70" s="47"/>
    </row>
    <row r="71" spans="1:9" x14ac:dyDescent="0.25">
      <c r="A71" s="48" t="s">
        <v>91</v>
      </c>
      <c r="B71" s="4">
        <v>30</v>
      </c>
      <c r="C71" s="4">
        <v>5</v>
      </c>
      <c r="D71" s="4" t="s">
        <v>92</v>
      </c>
      <c r="E71" s="4">
        <v>9481128</v>
      </c>
      <c r="F71" s="4">
        <f t="shared" si="1"/>
        <v>91.823161496272164</v>
      </c>
      <c r="G71" s="4">
        <v>75.11</v>
      </c>
      <c r="H71" s="4">
        <v>16.25</v>
      </c>
      <c r="I71" s="49">
        <v>8015178</v>
      </c>
    </row>
    <row r="72" spans="1:9" x14ac:dyDescent="0.25">
      <c r="A72" s="46" t="s">
        <v>84</v>
      </c>
      <c r="B72" s="1">
        <v>2</v>
      </c>
      <c r="C72" s="1">
        <v>10</v>
      </c>
      <c r="D72" s="1" t="s">
        <v>85</v>
      </c>
      <c r="E72" s="1">
        <v>3099</v>
      </c>
      <c r="F72" s="1">
        <f t="shared" ref="F72:F113" si="2">E72/10325421*100</f>
        <v>3.0013304058013713E-2</v>
      </c>
      <c r="G72" s="1">
        <v>56.86</v>
      </c>
      <c r="H72" s="1">
        <v>32.6</v>
      </c>
      <c r="I72" s="47"/>
    </row>
    <row r="73" spans="1:9" x14ac:dyDescent="0.25">
      <c r="A73" s="46" t="s">
        <v>86</v>
      </c>
      <c r="B73" s="1">
        <v>2</v>
      </c>
      <c r="C73" s="1">
        <v>10</v>
      </c>
      <c r="D73" s="1" t="s">
        <v>85</v>
      </c>
      <c r="E73" s="1">
        <v>3455</v>
      </c>
      <c r="F73" s="1">
        <f t="shared" si="2"/>
        <v>3.3461105363161464E-2</v>
      </c>
      <c r="G73" s="1">
        <v>49.24</v>
      </c>
      <c r="H73" s="1">
        <v>39.770000000000003</v>
      </c>
      <c r="I73" s="47"/>
    </row>
    <row r="74" spans="1:9" x14ac:dyDescent="0.25">
      <c r="A74" s="46" t="s">
        <v>87</v>
      </c>
      <c r="B74" s="1">
        <v>2</v>
      </c>
      <c r="C74" s="1">
        <v>10</v>
      </c>
      <c r="D74" s="1" t="s">
        <v>85</v>
      </c>
      <c r="E74" s="1">
        <v>3250</v>
      </c>
      <c r="F74" s="1">
        <f t="shared" si="2"/>
        <v>3.1475714162163458E-2</v>
      </c>
      <c r="G74" s="1">
        <v>45.16</v>
      </c>
      <c r="H74" s="1">
        <v>39.99</v>
      </c>
      <c r="I74" s="47"/>
    </row>
    <row r="75" spans="1:9" x14ac:dyDescent="0.25">
      <c r="A75" s="46" t="s">
        <v>88</v>
      </c>
      <c r="B75" s="1">
        <v>2</v>
      </c>
      <c r="C75" s="1">
        <v>10</v>
      </c>
      <c r="D75" s="1" t="s">
        <v>85</v>
      </c>
      <c r="E75" s="1">
        <v>1820</v>
      </c>
      <c r="F75" s="1">
        <f t="shared" si="2"/>
        <v>1.762639993081154E-2</v>
      </c>
      <c r="G75" s="1">
        <v>40.26</v>
      </c>
      <c r="H75" s="1">
        <v>41.56</v>
      </c>
      <c r="I75" s="47"/>
    </row>
    <row r="76" spans="1:9" x14ac:dyDescent="0.25">
      <c r="A76" s="46" t="s">
        <v>89</v>
      </c>
      <c r="B76" s="1">
        <v>2</v>
      </c>
      <c r="C76" s="1">
        <v>10</v>
      </c>
      <c r="D76" s="1" t="s">
        <v>85</v>
      </c>
      <c r="E76" s="1">
        <v>1957</v>
      </c>
      <c r="F76" s="1">
        <f t="shared" si="2"/>
        <v>1.8953222343185812E-2</v>
      </c>
      <c r="G76" s="1">
        <v>35.409999999999997</v>
      </c>
      <c r="H76" s="1">
        <v>47.72</v>
      </c>
      <c r="I76" s="47"/>
    </row>
    <row r="77" spans="1:9" x14ac:dyDescent="0.25">
      <c r="A77" s="46" t="s">
        <v>90</v>
      </c>
      <c r="B77" s="1">
        <v>2</v>
      </c>
      <c r="C77" s="1">
        <v>10</v>
      </c>
      <c r="D77" s="1" t="s">
        <v>85</v>
      </c>
      <c r="E77" s="1">
        <v>1516</v>
      </c>
      <c r="F77" s="1">
        <f t="shared" si="2"/>
        <v>1.4682210052258404E-2</v>
      </c>
      <c r="G77" s="1">
        <v>38.950000000000003</v>
      </c>
      <c r="H77" s="1">
        <v>40.94</v>
      </c>
      <c r="I77" s="47"/>
    </row>
    <row r="78" spans="1:9" x14ac:dyDescent="0.25">
      <c r="A78" s="48" t="s">
        <v>91</v>
      </c>
      <c r="B78" s="4">
        <v>2</v>
      </c>
      <c r="C78" s="4">
        <v>10</v>
      </c>
      <c r="D78" s="4" t="s">
        <v>85</v>
      </c>
      <c r="E78" s="4">
        <v>2090</v>
      </c>
      <c r="F78" s="4">
        <f t="shared" si="2"/>
        <v>2.0241305415052813E-2</v>
      </c>
      <c r="G78" s="4">
        <v>32.31</v>
      </c>
      <c r="H78" s="4">
        <v>52.19</v>
      </c>
      <c r="I78" s="49">
        <v>532</v>
      </c>
    </row>
    <row r="79" spans="1:9" x14ac:dyDescent="0.25">
      <c r="A79" s="46" t="s">
        <v>84</v>
      </c>
      <c r="B79" s="1">
        <v>5</v>
      </c>
      <c r="C79" s="1">
        <v>10</v>
      </c>
      <c r="D79" s="1" t="s">
        <v>85</v>
      </c>
      <c r="E79" s="1">
        <v>9463</v>
      </c>
      <c r="F79" s="1">
        <f t="shared" si="2"/>
        <v>9.1647594805093172E-2</v>
      </c>
      <c r="G79" s="1">
        <v>79.930000000000007</v>
      </c>
      <c r="H79" s="1">
        <v>23.52</v>
      </c>
      <c r="I79" s="47"/>
    </row>
    <row r="80" spans="1:9" x14ac:dyDescent="0.25">
      <c r="A80" s="46" t="s">
        <v>86</v>
      </c>
      <c r="B80" s="1">
        <v>5</v>
      </c>
      <c r="C80" s="1">
        <v>10</v>
      </c>
      <c r="D80" s="1" t="s">
        <v>85</v>
      </c>
      <c r="E80" s="1">
        <v>9654</v>
      </c>
      <c r="F80" s="1">
        <f t="shared" si="2"/>
        <v>9.3497398314315708E-2</v>
      </c>
      <c r="G80" s="1">
        <v>83.43</v>
      </c>
      <c r="H80" s="1">
        <v>23.43</v>
      </c>
      <c r="I80" s="47"/>
    </row>
    <row r="81" spans="1:9" x14ac:dyDescent="0.25">
      <c r="A81" s="46" t="s">
        <v>87</v>
      </c>
      <c r="B81" s="1">
        <v>5</v>
      </c>
      <c r="C81" s="1">
        <v>10</v>
      </c>
      <c r="D81" s="1" t="s">
        <v>85</v>
      </c>
      <c r="E81" s="1">
        <v>7649</v>
      </c>
      <c r="F81" s="1">
        <f t="shared" si="2"/>
        <v>7.4079303885042566E-2</v>
      </c>
      <c r="G81" s="1">
        <v>79.06</v>
      </c>
      <c r="H81" s="1">
        <v>24.92</v>
      </c>
      <c r="I81" s="47"/>
    </row>
    <row r="82" spans="1:9" x14ac:dyDescent="0.25">
      <c r="A82" s="46" t="s">
        <v>88</v>
      </c>
      <c r="B82" s="1">
        <v>5</v>
      </c>
      <c r="C82" s="1">
        <v>10</v>
      </c>
      <c r="D82" s="1" t="s">
        <v>85</v>
      </c>
      <c r="E82" s="1">
        <v>9926</v>
      </c>
      <c r="F82" s="1">
        <f t="shared" si="2"/>
        <v>9.6131673468810616E-2</v>
      </c>
      <c r="G82" s="1">
        <v>80.150000000000006</v>
      </c>
      <c r="H82" s="1">
        <v>23.11</v>
      </c>
      <c r="I82" s="47"/>
    </row>
    <row r="83" spans="1:9" x14ac:dyDescent="0.25">
      <c r="A83" s="46" t="s">
        <v>89</v>
      </c>
      <c r="B83" s="1">
        <v>5</v>
      </c>
      <c r="C83" s="1">
        <v>10</v>
      </c>
      <c r="D83" s="1" t="s">
        <v>85</v>
      </c>
      <c r="E83" s="1">
        <v>12972</v>
      </c>
      <c r="F83" s="1">
        <f t="shared" si="2"/>
        <v>0.12563168126510288</v>
      </c>
      <c r="G83" s="1">
        <v>80.08</v>
      </c>
      <c r="H83" s="1">
        <v>25.35</v>
      </c>
      <c r="I83" s="47"/>
    </row>
    <row r="84" spans="1:9" x14ac:dyDescent="0.25">
      <c r="A84" s="46" t="s">
        <v>90</v>
      </c>
      <c r="B84" s="1">
        <v>5</v>
      </c>
      <c r="C84" s="1">
        <v>10</v>
      </c>
      <c r="D84" s="1" t="s">
        <v>85</v>
      </c>
      <c r="E84" s="1">
        <v>16125</v>
      </c>
      <c r="F84" s="1">
        <f t="shared" si="2"/>
        <v>0.15616796641996486</v>
      </c>
      <c r="G84" s="1">
        <v>79.64</v>
      </c>
      <c r="H84" s="1">
        <v>24.05</v>
      </c>
      <c r="I84" s="47"/>
    </row>
    <row r="85" spans="1:9" x14ac:dyDescent="0.25">
      <c r="A85" s="48" t="s">
        <v>91</v>
      </c>
      <c r="B85" s="4">
        <v>5</v>
      </c>
      <c r="C85" s="4">
        <v>10</v>
      </c>
      <c r="D85" s="4" t="s">
        <v>85</v>
      </c>
      <c r="E85" s="4">
        <v>15521</v>
      </c>
      <c r="F85" s="4">
        <f t="shared" si="2"/>
        <v>0.15031832600336587</v>
      </c>
      <c r="G85" s="4">
        <v>81</v>
      </c>
      <c r="H85" s="4">
        <v>22.85</v>
      </c>
      <c r="I85" s="49">
        <v>2367</v>
      </c>
    </row>
    <row r="86" spans="1:9" x14ac:dyDescent="0.25">
      <c r="A86" s="46" t="s">
        <v>84</v>
      </c>
      <c r="B86" s="1">
        <v>10</v>
      </c>
      <c r="C86" s="1">
        <v>10</v>
      </c>
      <c r="D86" s="1" t="s">
        <v>85</v>
      </c>
      <c r="E86" s="1">
        <v>63231</v>
      </c>
      <c r="F86" s="1">
        <f t="shared" si="2"/>
        <v>0.61238180990392543</v>
      </c>
      <c r="G86" s="1">
        <v>79.83</v>
      </c>
      <c r="H86" s="1">
        <v>17.28</v>
      </c>
      <c r="I86" s="47"/>
    </row>
    <row r="87" spans="1:9" x14ac:dyDescent="0.25">
      <c r="A87" s="46" t="s">
        <v>86</v>
      </c>
      <c r="B87" s="1">
        <v>10</v>
      </c>
      <c r="C87" s="1">
        <v>10</v>
      </c>
      <c r="D87" s="1" t="s">
        <v>85</v>
      </c>
      <c r="E87" s="1">
        <v>132590</v>
      </c>
      <c r="F87" s="1">
        <f t="shared" si="2"/>
        <v>1.284112289465001</v>
      </c>
      <c r="G87" s="1">
        <v>77.75</v>
      </c>
      <c r="H87" s="1">
        <v>14</v>
      </c>
      <c r="I87" s="47"/>
    </row>
    <row r="88" spans="1:9" x14ac:dyDescent="0.25">
      <c r="A88" s="46" t="s">
        <v>87</v>
      </c>
      <c r="B88" s="1">
        <v>10</v>
      </c>
      <c r="C88" s="1">
        <v>10</v>
      </c>
      <c r="D88" s="1" t="s">
        <v>85</v>
      </c>
      <c r="E88" s="1">
        <v>136961</v>
      </c>
      <c r="F88" s="1">
        <f t="shared" si="2"/>
        <v>1.3264447038043292</v>
      </c>
      <c r="G88" s="1">
        <v>78.61</v>
      </c>
      <c r="H88" s="1">
        <v>13.75</v>
      </c>
      <c r="I88" s="47"/>
    </row>
    <row r="89" spans="1:9" x14ac:dyDescent="0.25">
      <c r="A89" s="46" t="s">
        <v>88</v>
      </c>
      <c r="B89" s="1">
        <v>10</v>
      </c>
      <c r="C89" s="1">
        <v>10</v>
      </c>
      <c r="D89" s="1" t="s">
        <v>85</v>
      </c>
      <c r="E89" s="1">
        <v>55420</v>
      </c>
      <c r="F89" s="1">
        <f t="shared" si="2"/>
        <v>0.53673356272833816</v>
      </c>
      <c r="G89" s="1">
        <v>76.209999999999994</v>
      </c>
      <c r="H89" s="1">
        <v>15.28</v>
      </c>
      <c r="I89" s="47"/>
    </row>
    <row r="90" spans="1:9" x14ac:dyDescent="0.25">
      <c r="A90" s="46" t="s">
        <v>89</v>
      </c>
      <c r="B90" s="1">
        <v>10</v>
      </c>
      <c r="C90" s="1">
        <v>10</v>
      </c>
      <c r="D90" s="1" t="s">
        <v>85</v>
      </c>
      <c r="E90" s="1">
        <v>62913</v>
      </c>
      <c r="F90" s="1">
        <f t="shared" si="2"/>
        <v>0.60930203233359681</v>
      </c>
      <c r="G90" s="1">
        <v>80.05</v>
      </c>
      <c r="H90" s="1">
        <v>14.66</v>
      </c>
      <c r="I90" s="47"/>
    </row>
    <row r="91" spans="1:9" x14ac:dyDescent="0.25">
      <c r="A91" s="46" t="s">
        <v>90</v>
      </c>
      <c r="B91" s="1">
        <v>10</v>
      </c>
      <c r="C91" s="1">
        <v>10</v>
      </c>
      <c r="D91" s="1" t="s">
        <v>85</v>
      </c>
      <c r="E91" s="1">
        <v>43248</v>
      </c>
      <c r="F91" s="1">
        <f t="shared" si="2"/>
        <v>0.4188497495646909</v>
      </c>
      <c r="G91" s="1">
        <v>79.459999999999994</v>
      </c>
      <c r="H91" s="1">
        <v>15.36</v>
      </c>
      <c r="I91" s="47"/>
    </row>
    <row r="92" spans="1:9" x14ac:dyDescent="0.25">
      <c r="A92" s="48" t="s">
        <v>91</v>
      </c>
      <c r="B92" s="4">
        <v>10</v>
      </c>
      <c r="C92" s="4">
        <v>10</v>
      </c>
      <c r="D92" s="4" t="s">
        <v>85</v>
      </c>
      <c r="E92" s="4">
        <v>56200</v>
      </c>
      <c r="F92" s="4">
        <f t="shared" si="2"/>
        <v>0.54428773412725739</v>
      </c>
      <c r="G92" s="4">
        <v>77.91</v>
      </c>
      <c r="H92" s="4">
        <v>15.7</v>
      </c>
      <c r="I92" s="49">
        <v>7540</v>
      </c>
    </row>
    <row r="93" spans="1:9" x14ac:dyDescent="0.25">
      <c r="A93" s="46" t="s">
        <v>84</v>
      </c>
      <c r="B93" s="1">
        <v>15</v>
      </c>
      <c r="C93" s="1">
        <v>10</v>
      </c>
      <c r="D93" s="1" t="s">
        <v>85</v>
      </c>
      <c r="E93" s="1">
        <v>328538</v>
      </c>
      <c r="F93" s="1">
        <f t="shared" si="2"/>
        <v>3.1818363628950337</v>
      </c>
      <c r="G93" s="1">
        <v>79.239999999999995</v>
      </c>
      <c r="H93" s="1">
        <v>12.91</v>
      </c>
      <c r="I93" s="47"/>
    </row>
    <row r="94" spans="1:9" x14ac:dyDescent="0.25">
      <c r="A94" s="46" t="s">
        <v>86</v>
      </c>
      <c r="B94" s="1">
        <v>15</v>
      </c>
      <c r="C94" s="1">
        <v>10</v>
      </c>
      <c r="D94" s="1" t="s">
        <v>85</v>
      </c>
      <c r="E94" s="1">
        <v>733463</v>
      </c>
      <c r="F94" s="1">
        <f t="shared" si="2"/>
        <v>7.1034682266224305</v>
      </c>
      <c r="G94" s="1">
        <v>77.67</v>
      </c>
      <c r="H94" s="1">
        <v>12.19</v>
      </c>
      <c r="I94" s="47"/>
    </row>
    <row r="95" spans="1:9" x14ac:dyDescent="0.25">
      <c r="A95" s="46" t="s">
        <v>87</v>
      </c>
      <c r="B95" s="1">
        <v>15</v>
      </c>
      <c r="C95" s="1">
        <v>10</v>
      </c>
      <c r="D95" s="1" t="s">
        <v>85</v>
      </c>
      <c r="E95" s="1">
        <v>774752</v>
      </c>
      <c r="F95" s="1">
        <f t="shared" si="2"/>
        <v>7.5033453841736817</v>
      </c>
      <c r="G95" s="1">
        <v>78.290000000000006</v>
      </c>
      <c r="H95" s="1">
        <v>12.15</v>
      </c>
      <c r="I95" s="47"/>
    </row>
    <row r="96" spans="1:9" x14ac:dyDescent="0.25">
      <c r="A96" s="46" t="s">
        <v>88</v>
      </c>
      <c r="B96" s="1">
        <v>15</v>
      </c>
      <c r="C96" s="1">
        <v>10</v>
      </c>
      <c r="D96" s="1" t="s">
        <v>85</v>
      </c>
      <c r="E96" s="1">
        <v>294495</v>
      </c>
      <c r="F96" s="1">
        <f t="shared" si="2"/>
        <v>2.8521355206727166</v>
      </c>
      <c r="G96" s="1">
        <v>76.11</v>
      </c>
      <c r="H96" s="1">
        <v>12.5</v>
      </c>
      <c r="I96" s="47"/>
    </row>
    <row r="97" spans="1:9" x14ac:dyDescent="0.25">
      <c r="A97" s="46" t="s">
        <v>89</v>
      </c>
      <c r="B97" s="1">
        <v>15</v>
      </c>
      <c r="C97" s="1">
        <v>10</v>
      </c>
      <c r="D97" s="1" t="s">
        <v>85</v>
      </c>
      <c r="E97" s="1">
        <v>342169</v>
      </c>
      <c r="F97" s="1">
        <f t="shared" si="2"/>
        <v>3.3138503505087105</v>
      </c>
      <c r="G97" s="1">
        <v>79.73</v>
      </c>
      <c r="H97" s="1">
        <v>12.25</v>
      </c>
      <c r="I97" s="47"/>
    </row>
    <row r="98" spans="1:9" x14ac:dyDescent="0.25">
      <c r="A98" s="46" t="s">
        <v>90</v>
      </c>
      <c r="B98" s="1">
        <v>15</v>
      </c>
      <c r="C98" s="1">
        <v>10</v>
      </c>
      <c r="D98" s="1" t="s">
        <v>85</v>
      </c>
      <c r="E98" s="1">
        <v>217011</v>
      </c>
      <c r="F98" s="1">
        <f t="shared" si="2"/>
        <v>2.1017157557062323</v>
      </c>
      <c r="G98" s="1">
        <v>78.88</v>
      </c>
      <c r="H98" s="1">
        <v>12.57</v>
      </c>
      <c r="I98" s="47"/>
    </row>
    <row r="99" spans="1:9" x14ac:dyDescent="0.25">
      <c r="A99" s="48" t="s">
        <v>91</v>
      </c>
      <c r="B99" s="4">
        <v>15</v>
      </c>
      <c r="C99" s="4">
        <v>10</v>
      </c>
      <c r="D99" s="4" t="s">
        <v>85</v>
      </c>
      <c r="E99" s="4">
        <v>314614</v>
      </c>
      <c r="F99" s="4">
        <f t="shared" si="2"/>
        <v>3.0469847185891985</v>
      </c>
      <c r="G99" s="4">
        <v>77.7</v>
      </c>
      <c r="H99" s="4">
        <v>12.42</v>
      </c>
      <c r="I99" s="49">
        <v>15793</v>
      </c>
    </row>
    <row r="100" spans="1:9" x14ac:dyDescent="0.25">
      <c r="A100" s="46" t="s">
        <v>84</v>
      </c>
      <c r="B100" s="1">
        <v>30</v>
      </c>
      <c r="C100" s="1">
        <v>10</v>
      </c>
      <c r="D100" s="1" t="s">
        <v>85</v>
      </c>
      <c r="E100" s="1">
        <v>3507591</v>
      </c>
      <c r="F100" s="1">
        <f t="shared" si="2"/>
        <v>33.970440527316029</v>
      </c>
      <c r="G100" s="1">
        <v>77.78</v>
      </c>
      <c r="H100" s="1">
        <v>13.66</v>
      </c>
      <c r="I100" s="47"/>
    </row>
    <row r="101" spans="1:9" x14ac:dyDescent="0.25">
      <c r="A101" s="46" t="s">
        <v>86</v>
      </c>
      <c r="B101" s="1">
        <v>30</v>
      </c>
      <c r="C101" s="1">
        <v>10</v>
      </c>
      <c r="D101" s="1" t="s">
        <v>85</v>
      </c>
      <c r="E101" s="1">
        <v>4425408</v>
      </c>
      <c r="F101" s="1">
        <f t="shared" si="2"/>
        <v>42.859346848908146</v>
      </c>
      <c r="G101" s="1">
        <v>76.22</v>
      </c>
      <c r="H101" s="1">
        <v>14.27</v>
      </c>
      <c r="I101" s="47"/>
    </row>
    <row r="102" spans="1:9" x14ac:dyDescent="0.25">
      <c r="A102" s="46" t="s">
        <v>87</v>
      </c>
      <c r="B102" s="1">
        <v>30</v>
      </c>
      <c r="C102" s="1">
        <v>10</v>
      </c>
      <c r="D102" s="1" t="s">
        <v>85</v>
      </c>
      <c r="E102" s="1">
        <v>4346155</v>
      </c>
      <c r="F102" s="1">
        <f t="shared" si="2"/>
        <v>42.091794610602321</v>
      </c>
      <c r="G102" s="1">
        <v>76.5</v>
      </c>
      <c r="H102" s="1">
        <v>14.2</v>
      </c>
      <c r="I102" s="47"/>
    </row>
    <row r="103" spans="1:9" x14ac:dyDescent="0.25">
      <c r="A103" s="46" t="s">
        <v>88</v>
      </c>
      <c r="B103" s="1">
        <v>30</v>
      </c>
      <c r="C103" s="1">
        <v>10</v>
      </c>
      <c r="D103" s="1" t="s">
        <v>85</v>
      </c>
      <c r="E103" s="1">
        <v>2248672</v>
      </c>
      <c r="F103" s="1">
        <f t="shared" si="2"/>
        <v>21.778017574295518</v>
      </c>
      <c r="G103" s="1">
        <v>74.92</v>
      </c>
      <c r="H103" s="1">
        <v>12.5</v>
      </c>
      <c r="I103" s="47"/>
    </row>
    <row r="104" spans="1:9" x14ac:dyDescent="0.25">
      <c r="A104" s="46" t="s">
        <v>89</v>
      </c>
      <c r="B104" s="1">
        <v>30</v>
      </c>
      <c r="C104" s="1">
        <v>10</v>
      </c>
      <c r="D104" s="1" t="s">
        <v>85</v>
      </c>
      <c r="E104" s="1">
        <v>3272029</v>
      </c>
      <c r="F104" s="1">
        <f t="shared" si="2"/>
        <v>31.689061395172168</v>
      </c>
      <c r="G104" s="1">
        <v>78.19</v>
      </c>
      <c r="H104" s="1">
        <v>13.36</v>
      </c>
      <c r="I104" s="47"/>
    </row>
    <row r="105" spans="1:9" x14ac:dyDescent="0.25">
      <c r="A105" s="46" t="s">
        <v>90</v>
      </c>
      <c r="B105" s="1">
        <v>30</v>
      </c>
      <c r="C105" s="1">
        <v>10</v>
      </c>
      <c r="D105" s="1" t="s">
        <v>85</v>
      </c>
      <c r="E105" s="1">
        <v>2805872</v>
      </c>
      <c r="F105" s="1">
        <f t="shared" si="2"/>
        <v>27.174407706959357</v>
      </c>
      <c r="G105" s="1">
        <v>77.66</v>
      </c>
      <c r="H105" s="1">
        <v>13.11</v>
      </c>
      <c r="I105" s="47"/>
    </row>
    <row r="106" spans="1:9" x14ac:dyDescent="0.25">
      <c r="A106" s="48" t="s">
        <v>91</v>
      </c>
      <c r="B106" s="4">
        <v>30</v>
      </c>
      <c r="C106" s="4">
        <v>10</v>
      </c>
      <c r="D106" s="4" t="s">
        <v>85</v>
      </c>
      <c r="E106" s="4">
        <v>3491660</v>
      </c>
      <c r="F106" s="4">
        <f t="shared" si="2"/>
        <v>33.816151418910664</v>
      </c>
      <c r="G106" s="4">
        <v>76.42</v>
      </c>
      <c r="H106" s="4">
        <v>13.51</v>
      </c>
      <c r="I106" s="49">
        <v>86504</v>
      </c>
    </row>
    <row r="107" spans="1:9" x14ac:dyDescent="0.25">
      <c r="A107" s="46" t="s">
        <v>84</v>
      </c>
      <c r="B107" s="1">
        <v>2</v>
      </c>
      <c r="C107" s="1">
        <v>10</v>
      </c>
      <c r="D107" s="1" t="s">
        <v>92</v>
      </c>
      <c r="E107" s="1">
        <v>6219</v>
      </c>
      <c r="F107" s="1">
        <f t="shared" si="2"/>
        <v>6.0229989653690641E-2</v>
      </c>
      <c r="G107" s="1">
        <v>63.82</v>
      </c>
      <c r="H107" s="1">
        <v>23.29</v>
      </c>
      <c r="I107" s="47"/>
    </row>
    <row r="108" spans="1:9" x14ac:dyDescent="0.25">
      <c r="A108" s="46" t="s">
        <v>86</v>
      </c>
      <c r="B108" s="1">
        <v>2</v>
      </c>
      <c r="C108" s="1">
        <v>10</v>
      </c>
      <c r="D108" s="1" t="s">
        <v>92</v>
      </c>
      <c r="E108" s="1">
        <v>7426</v>
      </c>
      <c r="F108" s="1">
        <f t="shared" si="2"/>
        <v>7.1919585651761805E-2</v>
      </c>
      <c r="G108" s="1">
        <v>56.35</v>
      </c>
      <c r="H108" s="1">
        <v>28.76</v>
      </c>
      <c r="I108" s="47"/>
    </row>
    <row r="109" spans="1:9" x14ac:dyDescent="0.25">
      <c r="A109" s="46" t="s">
        <v>87</v>
      </c>
      <c r="B109" s="1">
        <v>2</v>
      </c>
      <c r="C109" s="1">
        <v>10</v>
      </c>
      <c r="D109" s="1" t="s">
        <v>92</v>
      </c>
      <c r="E109" s="1">
        <v>6868</v>
      </c>
      <c r="F109" s="1">
        <f t="shared" si="2"/>
        <v>6.6515447650996512E-2</v>
      </c>
      <c r="G109" s="1">
        <v>54.06</v>
      </c>
      <c r="H109" s="1">
        <v>29.3</v>
      </c>
      <c r="I109" s="47"/>
    </row>
    <row r="110" spans="1:9" x14ac:dyDescent="0.25">
      <c r="A110" s="46" t="s">
        <v>88</v>
      </c>
      <c r="B110" s="1">
        <v>2</v>
      </c>
      <c r="C110" s="1">
        <v>10</v>
      </c>
      <c r="D110" s="1" t="s">
        <v>92</v>
      </c>
      <c r="E110" s="1">
        <v>4040</v>
      </c>
      <c r="F110" s="1">
        <f t="shared" si="2"/>
        <v>3.9126733912350886E-2</v>
      </c>
      <c r="G110" s="1">
        <v>50.49</v>
      </c>
      <c r="H110" s="1">
        <v>29.84</v>
      </c>
      <c r="I110" s="47"/>
    </row>
    <row r="111" spans="1:9" x14ac:dyDescent="0.25">
      <c r="A111" s="46" t="s">
        <v>89</v>
      </c>
      <c r="B111" s="1">
        <v>2</v>
      </c>
      <c r="C111" s="1">
        <v>10</v>
      </c>
      <c r="D111" s="1" t="s">
        <v>92</v>
      </c>
      <c r="E111" s="1">
        <v>4140</v>
      </c>
      <c r="F111" s="1">
        <f t="shared" si="2"/>
        <v>4.0095217425032838E-2</v>
      </c>
      <c r="G111" s="1">
        <v>45.96</v>
      </c>
      <c r="H111" s="1">
        <v>34.659999999999997</v>
      </c>
      <c r="I111" s="47"/>
    </row>
    <row r="112" spans="1:9" x14ac:dyDescent="0.25">
      <c r="A112" s="46" t="s">
        <v>90</v>
      </c>
      <c r="B112" s="1">
        <v>2</v>
      </c>
      <c r="C112" s="1">
        <v>10</v>
      </c>
      <c r="D112" s="1" t="s">
        <v>92</v>
      </c>
      <c r="E112" s="1">
        <v>3125</v>
      </c>
      <c r="F112" s="1">
        <f t="shared" si="2"/>
        <v>3.026510977131102E-2</v>
      </c>
      <c r="G112" s="1">
        <v>49.24</v>
      </c>
      <c r="H112" s="1">
        <v>32.49</v>
      </c>
      <c r="I112" s="47"/>
    </row>
    <row r="113" spans="1:9" x14ac:dyDescent="0.25">
      <c r="A113" s="48" t="s">
        <v>91</v>
      </c>
      <c r="B113" s="4">
        <v>2</v>
      </c>
      <c r="C113" s="4">
        <v>10</v>
      </c>
      <c r="D113" s="4" t="s">
        <v>92</v>
      </c>
      <c r="E113" s="4">
        <v>4388</v>
      </c>
      <c r="F113" s="4">
        <f t="shared" si="2"/>
        <v>4.2497056536484085E-2</v>
      </c>
      <c r="G113" s="4">
        <v>42.5</v>
      </c>
      <c r="H113" s="4">
        <v>36.9</v>
      </c>
      <c r="I113" s="49">
        <v>1062</v>
      </c>
    </row>
    <row r="114" spans="1:9" x14ac:dyDescent="0.25">
      <c r="A114" s="46" t="s">
        <v>84</v>
      </c>
      <c r="B114" s="1">
        <v>5</v>
      </c>
      <c r="C114" s="1">
        <v>10</v>
      </c>
      <c r="D114" s="1" t="s">
        <v>92</v>
      </c>
      <c r="E114" s="1">
        <v>29926</v>
      </c>
      <c r="F114" s="1">
        <f t="shared" ref="F114:F129" si="3">E114/10325421*100</f>
        <v>0.28982837600520117</v>
      </c>
      <c r="G114" s="1">
        <v>79.319999999999993</v>
      </c>
      <c r="H114" s="1">
        <v>11.52</v>
      </c>
      <c r="I114" s="47"/>
    </row>
    <row r="115" spans="1:9" x14ac:dyDescent="0.25">
      <c r="A115" s="46" t="s">
        <v>86</v>
      </c>
      <c r="B115" s="1">
        <v>5</v>
      </c>
      <c r="C115" s="1">
        <v>10</v>
      </c>
      <c r="D115" s="1" t="s">
        <v>92</v>
      </c>
      <c r="E115" s="1">
        <v>68628</v>
      </c>
      <c r="F115" s="1">
        <f t="shared" si="3"/>
        <v>0.66465086508337046</v>
      </c>
      <c r="G115" s="1">
        <v>79.099999999999994</v>
      </c>
      <c r="H115" s="1">
        <v>13.5</v>
      </c>
      <c r="I115" s="47"/>
    </row>
    <row r="116" spans="1:9" x14ac:dyDescent="0.25">
      <c r="A116" s="46" t="s">
        <v>87</v>
      </c>
      <c r="B116" s="1">
        <v>5</v>
      </c>
      <c r="C116" s="1">
        <v>10</v>
      </c>
      <c r="D116" s="1" t="s">
        <v>92</v>
      </c>
      <c r="E116" s="1">
        <v>65617</v>
      </c>
      <c r="F116" s="1">
        <f t="shared" si="3"/>
        <v>0.63548982651651686</v>
      </c>
      <c r="G116" s="1">
        <v>79.78</v>
      </c>
      <c r="H116" s="1">
        <v>13.37</v>
      </c>
      <c r="I116" s="47"/>
    </row>
    <row r="117" spans="1:9" x14ac:dyDescent="0.25">
      <c r="A117" s="46" t="s">
        <v>88</v>
      </c>
      <c r="B117" s="1">
        <v>5</v>
      </c>
      <c r="C117" s="1">
        <v>10</v>
      </c>
      <c r="D117" s="1" t="s">
        <v>92</v>
      </c>
      <c r="E117" s="1">
        <v>24573</v>
      </c>
      <c r="F117" s="1">
        <f t="shared" si="3"/>
        <v>0.23798545357133624</v>
      </c>
      <c r="G117" s="1">
        <v>77.66</v>
      </c>
      <c r="H117" s="1">
        <v>13.14</v>
      </c>
      <c r="I117" s="47"/>
    </row>
    <row r="118" spans="1:9" x14ac:dyDescent="0.25">
      <c r="A118" s="46" t="s">
        <v>89</v>
      </c>
      <c r="B118" s="1">
        <v>5</v>
      </c>
      <c r="C118" s="1">
        <v>10</v>
      </c>
      <c r="D118" s="1" t="s">
        <v>92</v>
      </c>
      <c r="E118" s="1">
        <v>27903</v>
      </c>
      <c r="F118" s="1">
        <f t="shared" si="3"/>
        <v>0.27023595454364524</v>
      </c>
      <c r="G118" s="1">
        <v>80.95</v>
      </c>
      <c r="H118" s="1">
        <v>13.1</v>
      </c>
      <c r="I118" s="47"/>
    </row>
    <row r="119" spans="1:9" x14ac:dyDescent="0.25">
      <c r="A119" s="46" t="s">
        <v>90</v>
      </c>
      <c r="B119" s="1">
        <v>5</v>
      </c>
      <c r="C119" s="1">
        <v>10</v>
      </c>
      <c r="D119" s="1" t="s">
        <v>92</v>
      </c>
      <c r="E119" s="1">
        <v>15840</v>
      </c>
      <c r="F119" s="1">
        <f t="shared" si="3"/>
        <v>0.1534077884088213</v>
      </c>
      <c r="G119" s="1">
        <v>79.97</v>
      </c>
      <c r="H119" s="1">
        <v>12.7</v>
      </c>
      <c r="I119" s="47"/>
    </row>
    <row r="120" spans="1:9" x14ac:dyDescent="0.25">
      <c r="A120" s="48" t="s">
        <v>91</v>
      </c>
      <c r="B120" s="4">
        <v>5</v>
      </c>
      <c r="C120" s="4">
        <v>10</v>
      </c>
      <c r="D120" s="4" t="s">
        <v>92</v>
      </c>
      <c r="E120" s="4">
        <v>24015</v>
      </c>
      <c r="F120" s="4">
        <f t="shared" si="3"/>
        <v>0.23258131557057091</v>
      </c>
      <c r="G120" s="4">
        <v>78.739999999999995</v>
      </c>
      <c r="H120" s="4">
        <v>13.14</v>
      </c>
      <c r="I120" s="49">
        <v>59</v>
      </c>
    </row>
    <row r="121" spans="1:9" x14ac:dyDescent="0.25">
      <c r="A121" s="46" t="s">
        <v>84</v>
      </c>
      <c r="B121" s="1">
        <v>10</v>
      </c>
      <c r="C121" s="1">
        <v>10</v>
      </c>
      <c r="D121" s="1" t="s">
        <v>92</v>
      </c>
      <c r="E121" s="1">
        <v>661897</v>
      </c>
      <c r="F121" s="1">
        <f t="shared" si="3"/>
        <v>6.4103633159364639</v>
      </c>
      <c r="G121" s="1">
        <v>79.63</v>
      </c>
      <c r="H121" s="1">
        <v>11.4</v>
      </c>
      <c r="I121" s="47"/>
    </row>
    <row r="122" spans="1:9" x14ac:dyDescent="0.25">
      <c r="A122" s="46" t="s">
        <v>86</v>
      </c>
      <c r="B122" s="1">
        <v>10</v>
      </c>
      <c r="C122" s="1">
        <v>10</v>
      </c>
      <c r="D122" s="1" t="s">
        <v>92</v>
      </c>
      <c r="E122" s="1">
        <v>1373639</v>
      </c>
      <c r="F122" s="1">
        <f t="shared" si="3"/>
        <v>13.303467238769247</v>
      </c>
      <c r="G122" s="1">
        <v>77.959999999999994</v>
      </c>
      <c r="H122" s="1">
        <v>11.57</v>
      </c>
      <c r="I122" s="47"/>
    </row>
    <row r="123" spans="1:9" x14ac:dyDescent="0.25">
      <c r="A123" s="46" t="s">
        <v>87</v>
      </c>
      <c r="B123" s="1">
        <v>10</v>
      </c>
      <c r="C123" s="1">
        <v>10</v>
      </c>
      <c r="D123" s="1" t="s">
        <v>92</v>
      </c>
      <c r="E123" s="1">
        <v>1381748</v>
      </c>
      <c r="F123" s="1">
        <f t="shared" si="3"/>
        <v>13.382001566812626</v>
      </c>
      <c r="G123" s="1">
        <v>78.47</v>
      </c>
      <c r="H123" s="1">
        <v>11.56</v>
      </c>
      <c r="I123" s="47"/>
    </row>
    <row r="124" spans="1:9" x14ac:dyDescent="0.25">
      <c r="A124" s="46" t="s">
        <v>88</v>
      </c>
      <c r="B124" s="1">
        <v>10</v>
      </c>
      <c r="C124" s="1">
        <v>10</v>
      </c>
      <c r="D124" s="1" t="s">
        <v>92</v>
      </c>
      <c r="E124" s="1">
        <v>603372</v>
      </c>
      <c r="F124" s="1">
        <f t="shared" si="3"/>
        <v>5.8435583401393512</v>
      </c>
      <c r="G124" s="1">
        <v>76.81</v>
      </c>
      <c r="H124" s="1">
        <v>11.3</v>
      </c>
      <c r="I124" s="47"/>
    </row>
    <row r="125" spans="1:9" x14ac:dyDescent="0.25">
      <c r="A125" s="46" t="s">
        <v>89</v>
      </c>
      <c r="B125" s="1">
        <v>10</v>
      </c>
      <c r="C125" s="1">
        <v>10</v>
      </c>
      <c r="D125" s="1" t="s">
        <v>92</v>
      </c>
      <c r="E125" s="1">
        <v>669834</v>
      </c>
      <c r="F125" s="1">
        <f t="shared" si="3"/>
        <v>6.4872318523380308</v>
      </c>
      <c r="G125" s="1">
        <v>80.34</v>
      </c>
      <c r="H125" s="1">
        <v>11.31</v>
      </c>
      <c r="I125" s="47"/>
    </row>
    <row r="126" spans="1:9" x14ac:dyDescent="0.25">
      <c r="A126" s="46" t="s">
        <v>90</v>
      </c>
      <c r="B126" s="1">
        <v>10</v>
      </c>
      <c r="C126" s="1">
        <v>10</v>
      </c>
      <c r="D126" s="1" t="s">
        <v>92</v>
      </c>
      <c r="E126" s="1">
        <v>438989</v>
      </c>
      <c r="F126" s="1">
        <f t="shared" si="3"/>
        <v>4.2515360874873771</v>
      </c>
      <c r="G126" s="1">
        <v>79.53</v>
      </c>
      <c r="H126" s="1">
        <v>11.22</v>
      </c>
      <c r="I126" s="47"/>
    </row>
    <row r="127" spans="1:9" x14ac:dyDescent="0.25">
      <c r="A127" s="48" t="s">
        <v>91</v>
      </c>
      <c r="B127" s="4">
        <v>10</v>
      </c>
      <c r="C127" s="4">
        <v>10</v>
      </c>
      <c r="D127" s="4" t="s">
        <v>92</v>
      </c>
      <c r="E127" s="4">
        <v>638726</v>
      </c>
      <c r="F127" s="4">
        <f t="shared" si="3"/>
        <v>6.1859560012129284</v>
      </c>
      <c r="G127" s="4">
        <v>78.19</v>
      </c>
      <c r="H127" s="4">
        <v>11.3</v>
      </c>
      <c r="I127" s="49">
        <v>8751</v>
      </c>
    </row>
    <row r="128" spans="1:9" x14ac:dyDescent="0.25">
      <c r="A128" s="46" t="s">
        <v>84</v>
      </c>
      <c r="B128" s="1">
        <v>15</v>
      </c>
      <c r="C128" s="1">
        <v>10</v>
      </c>
      <c r="D128" s="1" t="s">
        <v>92</v>
      </c>
      <c r="E128" s="1">
        <v>2557498</v>
      </c>
      <c r="F128" s="1">
        <f t="shared" si="3"/>
        <v>24.768946467170686</v>
      </c>
      <c r="G128" s="1">
        <v>79.16</v>
      </c>
      <c r="H128" s="1">
        <v>12.06</v>
      </c>
      <c r="I128" s="47"/>
    </row>
    <row r="129" spans="1:9" x14ac:dyDescent="0.25">
      <c r="A129" s="46" t="s">
        <v>86</v>
      </c>
      <c r="B129" s="1">
        <v>15</v>
      </c>
      <c r="C129" s="1">
        <v>10</v>
      </c>
      <c r="D129" s="1" t="s">
        <v>92</v>
      </c>
      <c r="E129" s="1">
        <v>4065367</v>
      </c>
      <c r="F129" s="1">
        <f t="shared" si="3"/>
        <v>39.372409125012922</v>
      </c>
      <c r="G129" s="1">
        <v>77.209999999999994</v>
      </c>
      <c r="H129" s="1">
        <v>12.6</v>
      </c>
      <c r="I129" s="47"/>
    </row>
    <row r="130" spans="1:9" x14ac:dyDescent="0.25">
      <c r="A130" s="46" t="s">
        <v>87</v>
      </c>
      <c r="B130" s="1">
        <v>15</v>
      </c>
      <c r="C130" s="1">
        <v>10</v>
      </c>
      <c r="D130" s="1" t="s">
        <v>92</v>
      </c>
      <c r="E130" s="1">
        <v>4146331</v>
      </c>
      <c r="F130" s="1">
        <f t="shared" ref="F130:F141" si="4">E130/10325421*100</f>
        <v>40.156532116220731</v>
      </c>
      <c r="G130" s="1">
        <v>77.709999999999994</v>
      </c>
      <c r="H130" s="1">
        <v>12.63</v>
      </c>
      <c r="I130" s="47"/>
    </row>
    <row r="131" spans="1:9" x14ac:dyDescent="0.25">
      <c r="A131" s="46" t="s">
        <v>88</v>
      </c>
      <c r="B131" s="1">
        <v>15</v>
      </c>
      <c r="C131" s="1">
        <v>10</v>
      </c>
      <c r="D131" s="1" t="s">
        <v>92</v>
      </c>
      <c r="E131" s="1">
        <v>2416184</v>
      </c>
      <c r="F131" s="1">
        <f t="shared" si="4"/>
        <v>23.400343676059311</v>
      </c>
      <c r="G131" s="1">
        <v>76.27</v>
      </c>
      <c r="H131" s="1">
        <v>11.94</v>
      </c>
      <c r="I131" s="47"/>
    </row>
    <row r="132" spans="1:9" x14ac:dyDescent="0.25">
      <c r="A132" s="46" t="s">
        <v>89</v>
      </c>
      <c r="B132" s="1">
        <v>15</v>
      </c>
      <c r="C132" s="1">
        <v>10</v>
      </c>
      <c r="D132" s="1" t="s">
        <v>92</v>
      </c>
      <c r="E132" s="1">
        <v>2529583</v>
      </c>
      <c r="F132" s="1">
        <f t="shared" si="4"/>
        <v>24.498594294605518</v>
      </c>
      <c r="G132" s="1">
        <v>79.739999999999995</v>
      </c>
      <c r="H132" s="1">
        <v>12.01</v>
      </c>
      <c r="I132" s="47"/>
    </row>
    <row r="133" spans="1:9" x14ac:dyDescent="0.25">
      <c r="A133" s="46" t="s">
        <v>90</v>
      </c>
      <c r="B133" s="1">
        <v>15</v>
      </c>
      <c r="C133" s="1">
        <v>10</v>
      </c>
      <c r="D133" s="1" t="s">
        <v>92</v>
      </c>
      <c r="E133" s="1">
        <v>1869757</v>
      </c>
      <c r="F133" s="1">
        <f t="shared" si="4"/>
        <v>18.108288272216697</v>
      </c>
      <c r="G133" s="1">
        <v>79.16</v>
      </c>
      <c r="H133" s="1">
        <v>11.79</v>
      </c>
      <c r="I133" s="47"/>
    </row>
    <row r="134" spans="1:9" x14ac:dyDescent="0.25">
      <c r="A134" s="48" t="s">
        <v>91</v>
      </c>
      <c r="B134" s="4">
        <v>15</v>
      </c>
      <c r="C134" s="4">
        <v>10</v>
      </c>
      <c r="D134" s="4" t="s">
        <v>92</v>
      </c>
      <c r="E134" s="4">
        <v>2555602</v>
      </c>
      <c r="F134" s="4">
        <f t="shared" si="4"/>
        <v>24.750584019770237</v>
      </c>
      <c r="G134" s="4">
        <v>77.72</v>
      </c>
      <c r="H134" s="4">
        <v>11.98</v>
      </c>
      <c r="I134" s="49">
        <v>74136</v>
      </c>
    </row>
    <row r="135" spans="1:9" x14ac:dyDescent="0.25">
      <c r="A135" s="46" t="s">
        <v>84</v>
      </c>
      <c r="B135" s="1">
        <v>30</v>
      </c>
      <c r="C135" s="1">
        <v>10</v>
      </c>
      <c r="D135" s="1" t="s">
        <v>92</v>
      </c>
      <c r="E135" s="1">
        <v>7915184</v>
      </c>
      <c r="F135" s="1">
        <f t="shared" si="4"/>
        <v>76.657252038439879</v>
      </c>
      <c r="G135" s="1">
        <v>77.150000000000006</v>
      </c>
      <c r="H135" s="1">
        <v>17.829999999999998</v>
      </c>
      <c r="I135" s="47"/>
    </row>
    <row r="136" spans="1:9" x14ac:dyDescent="0.25">
      <c r="A136" s="46" t="s">
        <v>86</v>
      </c>
      <c r="B136" s="1">
        <v>30</v>
      </c>
      <c r="C136" s="1">
        <v>10</v>
      </c>
      <c r="D136" s="1" t="s">
        <v>92</v>
      </c>
      <c r="E136" s="1">
        <v>8376300</v>
      </c>
      <c r="F136" s="1">
        <f t="shared" si="4"/>
        <v>81.123084472778402</v>
      </c>
      <c r="G136" s="1">
        <v>74.77</v>
      </c>
      <c r="H136" s="1">
        <v>16.46</v>
      </c>
      <c r="I136" s="47"/>
    </row>
    <row r="137" spans="1:9" x14ac:dyDescent="0.25">
      <c r="A137" s="46" t="s">
        <v>87</v>
      </c>
      <c r="B137" s="1">
        <v>30</v>
      </c>
      <c r="C137" s="1">
        <v>10</v>
      </c>
      <c r="D137" s="1" t="s">
        <v>92</v>
      </c>
      <c r="E137" s="1">
        <v>7779936</v>
      </c>
      <c r="F137" s="1">
        <f t="shared" si="4"/>
        <v>75.347397457207805</v>
      </c>
      <c r="G137" s="1">
        <v>74.98</v>
      </c>
      <c r="H137" s="1">
        <v>16.66</v>
      </c>
      <c r="I137" s="47"/>
    </row>
    <row r="138" spans="1:9" x14ac:dyDescent="0.25">
      <c r="A138" s="46" t="s">
        <v>88</v>
      </c>
      <c r="B138" s="1">
        <v>30</v>
      </c>
      <c r="C138" s="1">
        <v>10</v>
      </c>
      <c r="D138" s="1" t="s">
        <v>92</v>
      </c>
      <c r="E138" s="1">
        <v>6786386</v>
      </c>
      <c r="F138" s="1">
        <f t="shared" si="4"/>
        <v>65.725029516956255</v>
      </c>
      <c r="G138" s="1">
        <v>74.430000000000007</v>
      </c>
      <c r="H138" s="1">
        <v>16.420000000000002</v>
      </c>
      <c r="I138" s="47"/>
    </row>
    <row r="139" spans="1:9" x14ac:dyDescent="0.25">
      <c r="A139" s="46" t="s">
        <v>89</v>
      </c>
      <c r="B139" s="1">
        <v>30</v>
      </c>
      <c r="C139" s="1">
        <v>10</v>
      </c>
      <c r="D139" s="1" t="s">
        <v>92</v>
      </c>
      <c r="E139" s="1">
        <v>7676385</v>
      </c>
      <c r="F139" s="1">
        <f t="shared" si="4"/>
        <v>74.344523094990507</v>
      </c>
      <c r="G139" s="1">
        <v>77.34</v>
      </c>
      <c r="H139" s="1">
        <v>17.489999999999998</v>
      </c>
      <c r="I139" s="47"/>
    </row>
    <row r="140" spans="1:9" x14ac:dyDescent="0.25">
      <c r="A140" s="46" t="s">
        <v>90</v>
      </c>
      <c r="B140" s="1">
        <v>30</v>
      </c>
      <c r="C140" s="1">
        <v>10</v>
      </c>
      <c r="D140" s="1" t="s">
        <v>92</v>
      </c>
      <c r="E140" s="1">
        <v>7365726</v>
      </c>
      <c r="F140" s="1">
        <f t="shared" si="4"/>
        <v>71.335841899327875</v>
      </c>
      <c r="G140" s="1">
        <v>77.08</v>
      </c>
      <c r="H140" s="1">
        <v>16.989999999999998</v>
      </c>
      <c r="I140" s="47"/>
    </row>
    <row r="141" spans="1:9" ht="15.75" thickBot="1" x14ac:dyDescent="0.3">
      <c r="A141" s="50" t="s">
        <v>91</v>
      </c>
      <c r="B141" s="51">
        <v>30</v>
      </c>
      <c r="C141" s="51">
        <v>10</v>
      </c>
      <c r="D141" s="51" t="s">
        <v>92</v>
      </c>
      <c r="E141" s="51">
        <v>7936961</v>
      </c>
      <c r="F141" s="51">
        <f t="shared" si="4"/>
        <v>76.86815869299663</v>
      </c>
      <c r="G141" s="51">
        <v>75.87</v>
      </c>
      <c r="H141" s="51">
        <v>17.739999999999998</v>
      </c>
      <c r="I141" s="52">
        <v>3792804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08110-C70B-45E6-8D03-9328DEDD3238}">
  <dimension ref="A1:G17"/>
  <sheetViews>
    <sheetView zoomScale="114" workbookViewId="0">
      <selection activeCell="D6" sqref="D6"/>
    </sheetView>
  </sheetViews>
  <sheetFormatPr baseColWidth="10" defaultRowHeight="15" x14ac:dyDescent="0.25"/>
  <cols>
    <col min="1" max="1" width="11.42578125" style="1"/>
    <col min="2" max="2" width="30.5703125" style="1" bestFit="1" customWidth="1"/>
    <col min="3" max="16384" width="11.42578125" style="1"/>
  </cols>
  <sheetData>
    <row r="1" spans="1:7" x14ac:dyDescent="0.25">
      <c r="A1" s="23" t="s">
        <v>103</v>
      </c>
      <c r="B1" s="23"/>
      <c r="C1" s="23"/>
    </row>
    <row r="2" spans="1:7" x14ac:dyDescent="0.25">
      <c r="A2" s="68" t="s">
        <v>94</v>
      </c>
      <c r="B2" s="15" t="s">
        <v>95</v>
      </c>
      <c r="C2" s="17" t="s">
        <v>96</v>
      </c>
    </row>
    <row r="3" spans="1:7" x14ac:dyDescent="0.25">
      <c r="A3" s="55" t="s">
        <v>97</v>
      </c>
      <c r="B3" s="58" t="s">
        <v>111</v>
      </c>
      <c r="C3" s="54">
        <v>5.3200000000000002E-10</v>
      </c>
      <c r="G3" s="53"/>
    </row>
    <row r="4" spans="1:7" x14ac:dyDescent="0.25">
      <c r="A4" s="55" t="s">
        <v>98</v>
      </c>
      <c r="B4" s="5" t="s">
        <v>111</v>
      </c>
      <c r="C4" s="9">
        <v>3.4949999999999998E-4</v>
      </c>
    </row>
    <row r="5" spans="1:7" x14ac:dyDescent="0.25">
      <c r="A5" s="55" t="s">
        <v>100</v>
      </c>
      <c r="B5" s="5" t="s">
        <v>111</v>
      </c>
      <c r="C5" s="9">
        <v>0.29649999999999999</v>
      </c>
    </row>
    <row r="6" spans="1:7" x14ac:dyDescent="0.25">
      <c r="A6" s="55" t="s">
        <v>101</v>
      </c>
      <c r="B6" s="5" t="s">
        <v>111</v>
      </c>
      <c r="C6" s="9">
        <v>2.75E-2</v>
      </c>
    </row>
    <row r="7" spans="1:7" x14ac:dyDescent="0.25">
      <c r="A7" s="55" t="s">
        <v>102</v>
      </c>
      <c r="B7" s="5" t="s">
        <v>111</v>
      </c>
      <c r="C7" s="9">
        <v>4.8779999999999997E-2</v>
      </c>
    </row>
    <row r="8" spans="1:7" x14ac:dyDescent="0.25">
      <c r="A8" s="55" t="s">
        <v>97</v>
      </c>
      <c r="B8" s="5" t="s">
        <v>112</v>
      </c>
      <c r="C8" s="54">
        <v>1.867E-12</v>
      </c>
      <c r="G8" s="53"/>
    </row>
    <row r="9" spans="1:7" x14ac:dyDescent="0.25">
      <c r="A9" s="55" t="s">
        <v>98</v>
      </c>
      <c r="B9" s="5" t="s">
        <v>112</v>
      </c>
      <c r="C9" s="9" t="s">
        <v>99</v>
      </c>
    </row>
    <row r="10" spans="1:7" x14ac:dyDescent="0.25">
      <c r="A10" s="55" t="s">
        <v>100</v>
      </c>
      <c r="B10" s="5" t="s">
        <v>112</v>
      </c>
      <c r="C10" s="54">
        <v>1.842E-12</v>
      </c>
      <c r="G10" s="53"/>
    </row>
    <row r="11" spans="1:7" x14ac:dyDescent="0.25">
      <c r="A11" s="55" t="s">
        <v>101</v>
      </c>
      <c r="B11" s="5" t="s">
        <v>112</v>
      </c>
      <c r="C11" s="54">
        <v>2.2749999999999999E-12</v>
      </c>
      <c r="G11" s="53"/>
    </row>
    <row r="12" spans="1:7" x14ac:dyDescent="0.25">
      <c r="A12" s="55" t="s">
        <v>102</v>
      </c>
      <c r="B12" s="5" t="s">
        <v>112</v>
      </c>
      <c r="C12" s="54">
        <v>3.333E-7</v>
      </c>
      <c r="G12" s="53"/>
    </row>
    <row r="13" spans="1:7" x14ac:dyDescent="0.25">
      <c r="A13" s="55" t="s">
        <v>97</v>
      </c>
      <c r="B13" s="5" t="s">
        <v>80</v>
      </c>
      <c r="C13" s="54">
        <v>1.9530000000000001E-5</v>
      </c>
      <c r="G13" s="53"/>
    </row>
    <row r="14" spans="1:7" x14ac:dyDescent="0.25">
      <c r="A14" s="55" t="s">
        <v>98</v>
      </c>
      <c r="B14" s="5" t="s">
        <v>80</v>
      </c>
      <c r="C14" s="54">
        <v>7.443E-9</v>
      </c>
      <c r="G14" s="53"/>
    </row>
    <row r="15" spans="1:7" x14ac:dyDescent="0.25">
      <c r="A15" s="55" t="s">
        <v>100</v>
      </c>
      <c r="B15" s="5" t="s">
        <v>80</v>
      </c>
      <c r="C15" s="54">
        <v>1.2300000000000001E-15</v>
      </c>
      <c r="G15" s="53"/>
    </row>
    <row r="16" spans="1:7" x14ac:dyDescent="0.25">
      <c r="A16" s="55" t="s">
        <v>101</v>
      </c>
      <c r="B16" s="5" t="s">
        <v>80</v>
      </c>
      <c r="C16" s="9" t="s">
        <v>99</v>
      </c>
    </row>
    <row r="17" spans="1:3" x14ac:dyDescent="0.25">
      <c r="A17" s="36" t="s">
        <v>102</v>
      </c>
      <c r="B17" s="59" t="s">
        <v>80</v>
      </c>
      <c r="C17" s="37" t="s">
        <v>99</v>
      </c>
    </row>
  </sheetData>
  <sortState xmlns:xlrd2="http://schemas.microsoft.com/office/spreadsheetml/2017/richdata2" ref="E3:G17">
    <sortCondition ref="F3:F17"/>
  </sortState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7D79E-8C46-4911-BFCA-494002A335E8}">
  <dimension ref="A1:I91"/>
  <sheetViews>
    <sheetView zoomScale="102" workbookViewId="0">
      <selection activeCell="F11" sqref="F11"/>
    </sheetView>
  </sheetViews>
  <sheetFormatPr baseColWidth="10" defaultRowHeight="15" x14ac:dyDescent="0.25"/>
  <cols>
    <col min="1" max="2" width="11.42578125" style="1"/>
    <col min="3" max="3" width="21.42578125" style="1" customWidth="1"/>
    <col min="4" max="4" width="18" style="1" bestFit="1" customWidth="1"/>
    <col min="5" max="5" width="11.42578125" style="1" customWidth="1"/>
    <col min="6" max="16384" width="11.42578125" style="1"/>
  </cols>
  <sheetData>
    <row r="1" spans="1:9" x14ac:dyDescent="0.25">
      <c r="A1" s="24" t="s">
        <v>113</v>
      </c>
      <c r="B1" s="25"/>
      <c r="C1" s="25"/>
      <c r="D1" s="26"/>
    </row>
    <row r="2" spans="1:9" x14ac:dyDescent="0.25">
      <c r="A2" s="68" t="s">
        <v>94</v>
      </c>
      <c r="B2" s="16" t="s">
        <v>95</v>
      </c>
      <c r="C2" s="16" t="s">
        <v>104</v>
      </c>
      <c r="D2" s="17" t="s">
        <v>96</v>
      </c>
      <c r="I2" s="53"/>
    </row>
    <row r="3" spans="1:9" x14ac:dyDescent="0.25">
      <c r="A3" s="41" t="s">
        <v>97</v>
      </c>
      <c r="B3" s="1" t="s">
        <v>115</v>
      </c>
      <c r="C3" s="1" t="s">
        <v>105</v>
      </c>
      <c r="D3" s="54">
        <v>2.2360000000000001E-10</v>
      </c>
    </row>
    <row r="4" spans="1:9" x14ac:dyDescent="0.25">
      <c r="A4" s="55" t="s">
        <v>97</v>
      </c>
      <c r="B4" s="1" t="s">
        <v>115</v>
      </c>
      <c r="C4" s="1" t="s">
        <v>106</v>
      </c>
      <c r="D4" s="54">
        <v>0.2155</v>
      </c>
    </row>
    <row r="5" spans="1:9" x14ac:dyDescent="0.25">
      <c r="A5" s="55" t="s">
        <v>97</v>
      </c>
      <c r="B5" s="1" t="s">
        <v>115</v>
      </c>
      <c r="C5" s="1" t="s">
        <v>107</v>
      </c>
      <c r="D5" s="54">
        <v>1.562E-6</v>
      </c>
    </row>
    <row r="6" spans="1:9" x14ac:dyDescent="0.25">
      <c r="A6" s="55" t="s">
        <v>97</v>
      </c>
      <c r="B6" s="1" t="s">
        <v>115</v>
      </c>
      <c r="C6" s="1" t="s">
        <v>108</v>
      </c>
      <c r="D6" s="54">
        <v>3.6300000000000001E-14</v>
      </c>
    </row>
    <row r="7" spans="1:9" x14ac:dyDescent="0.25">
      <c r="A7" s="55" t="s">
        <v>97</v>
      </c>
      <c r="B7" s="1" t="s">
        <v>115</v>
      </c>
      <c r="C7" s="1" t="s">
        <v>109</v>
      </c>
      <c r="D7" s="54">
        <v>6.5070000000000003E-2</v>
      </c>
    </row>
    <row r="8" spans="1:9" x14ac:dyDescent="0.25">
      <c r="A8" s="55" t="s">
        <v>97</v>
      </c>
      <c r="B8" s="1" t="s">
        <v>115</v>
      </c>
      <c r="C8" s="1" t="s">
        <v>110</v>
      </c>
      <c r="D8" s="54">
        <v>4.2809999999999998E-8</v>
      </c>
    </row>
    <row r="9" spans="1:9" x14ac:dyDescent="0.25">
      <c r="A9" s="55" t="s">
        <v>98</v>
      </c>
      <c r="B9" s="1" t="s">
        <v>115</v>
      </c>
      <c r="C9" s="1" t="s">
        <v>105</v>
      </c>
      <c r="D9" s="54">
        <v>2.0980000000000001E-11</v>
      </c>
    </row>
    <row r="10" spans="1:9" x14ac:dyDescent="0.25">
      <c r="A10" s="55" t="s">
        <v>98</v>
      </c>
      <c r="B10" s="1" t="s">
        <v>115</v>
      </c>
      <c r="C10" s="1" t="s">
        <v>106</v>
      </c>
      <c r="D10" s="9">
        <v>0.94099999999999995</v>
      </c>
    </row>
    <row r="11" spans="1:9" x14ac:dyDescent="0.25">
      <c r="A11" s="55" t="s">
        <v>98</v>
      </c>
      <c r="B11" s="1" t="s">
        <v>115</v>
      </c>
      <c r="C11" s="1" t="s">
        <v>107</v>
      </c>
      <c r="D11" s="54">
        <v>2.1089999999999998E-11</v>
      </c>
    </row>
    <row r="12" spans="1:9" x14ac:dyDescent="0.25">
      <c r="A12" s="55" t="s">
        <v>98</v>
      </c>
      <c r="B12" s="1" t="s">
        <v>115</v>
      </c>
      <c r="C12" s="1" t="s">
        <v>108</v>
      </c>
      <c r="D12" s="54">
        <v>2.0980000000000001E-11</v>
      </c>
    </row>
    <row r="13" spans="1:9" x14ac:dyDescent="0.25">
      <c r="A13" s="55" t="s">
        <v>98</v>
      </c>
      <c r="B13" s="1" t="s">
        <v>115</v>
      </c>
      <c r="C13" s="1" t="s">
        <v>109</v>
      </c>
      <c r="D13" s="54">
        <v>2.0980000000000001E-11</v>
      </c>
    </row>
    <row r="14" spans="1:9" x14ac:dyDescent="0.25">
      <c r="A14" s="55" t="s">
        <v>98</v>
      </c>
      <c r="B14" s="1" t="s">
        <v>115</v>
      </c>
      <c r="C14" s="1" t="s">
        <v>110</v>
      </c>
      <c r="D14" s="54">
        <v>2.1089999999999998E-11</v>
      </c>
    </row>
    <row r="15" spans="1:9" x14ac:dyDescent="0.25">
      <c r="A15" s="55" t="s">
        <v>100</v>
      </c>
      <c r="B15" s="1" t="s">
        <v>115</v>
      </c>
      <c r="C15" s="1" t="s">
        <v>105</v>
      </c>
      <c r="D15" s="54">
        <v>2.343E-11</v>
      </c>
    </row>
    <row r="16" spans="1:9" x14ac:dyDescent="0.25">
      <c r="A16" s="55" t="s">
        <v>100</v>
      </c>
      <c r="B16" s="1" t="s">
        <v>115</v>
      </c>
      <c r="C16" s="1" t="s">
        <v>106</v>
      </c>
      <c r="D16" s="9">
        <v>1.2359999999999999E-2</v>
      </c>
    </row>
    <row r="17" spans="1:4" x14ac:dyDescent="0.25">
      <c r="A17" s="55" t="s">
        <v>100</v>
      </c>
      <c r="B17" s="1" t="s">
        <v>115</v>
      </c>
      <c r="C17" s="1" t="s">
        <v>107</v>
      </c>
      <c r="D17" s="54">
        <v>4.9819999999999999E-6</v>
      </c>
    </row>
    <row r="18" spans="1:4" x14ac:dyDescent="0.25">
      <c r="A18" s="55" t="s">
        <v>100</v>
      </c>
      <c r="B18" s="1" t="s">
        <v>115</v>
      </c>
      <c r="C18" s="1" t="s">
        <v>108</v>
      </c>
      <c r="D18" s="54">
        <v>2.0480000000000001E-10</v>
      </c>
    </row>
    <row r="19" spans="1:4" x14ac:dyDescent="0.25">
      <c r="A19" s="55" t="s">
        <v>100</v>
      </c>
      <c r="B19" s="1" t="s">
        <v>115</v>
      </c>
      <c r="C19" s="1" t="s">
        <v>109</v>
      </c>
      <c r="D19" s="54">
        <v>6.9460000000000001E-6</v>
      </c>
    </row>
    <row r="20" spans="1:4" x14ac:dyDescent="0.25">
      <c r="A20" s="55" t="s">
        <v>100</v>
      </c>
      <c r="B20" s="1" t="s">
        <v>115</v>
      </c>
      <c r="C20" s="1" t="s">
        <v>110</v>
      </c>
      <c r="D20" s="54">
        <v>8.4589999999999995E-3</v>
      </c>
    </row>
    <row r="21" spans="1:4" x14ac:dyDescent="0.25">
      <c r="A21" s="55" t="s">
        <v>101</v>
      </c>
      <c r="B21" s="1" t="s">
        <v>115</v>
      </c>
      <c r="C21" s="1" t="s">
        <v>105</v>
      </c>
      <c r="D21" s="54">
        <v>3.02E-14</v>
      </c>
    </row>
    <row r="22" spans="1:4" x14ac:dyDescent="0.25">
      <c r="A22" s="55" t="s">
        <v>101</v>
      </c>
      <c r="B22" s="1" t="s">
        <v>115</v>
      </c>
      <c r="C22" s="1" t="s">
        <v>106</v>
      </c>
      <c r="D22" s="54">
        <v>6.6309999999999997E-6</v>
      </c>
    </row>
    <row r="23" spans="1:4" x14ac:dyDescent="0.25">
      <c r="A23" s="55" t="s">
        <v>101</v>
      </c>
      <c r="B23" s="1" t="s">
        <v>115</v>
      </c>
      <c r="C23" s="1" t="s">
        <v>107</v>
      </c>
      <c r="D23" s="54">
        <v>6.284E-11</v>
      </c>
    </row>
    <row r="24" spans="1:4" x14ac:dyDescent="0.25">
      <c r="A24" s="55" t="s">
        <v>101</v>
      </c>
      <c r="B24" s="1" t="s">
        <v>115</v>
      </c>
      <c r="C24" s="1" t="s">
        <v>108</v>
      </c>
      <c r="D24" s="54">
        <v>4.4610000000000001E-5</v>
      </c>
    </row>
    <row r="25" spans="1:4" x14ac:dyDescent="0.25">
      <c r="A25" s="55" t="s">
        <v>101</v>
      </c>
      <c r="B25" s="1" t="s">
        <v>115</v>
      </c>
      <c r="C25" s="1" t="s">
        <v>109</v>
      </c>
      <c r="D25" s="54">
        <v>0.63</v>
      </c>
    </row>
    <row r="26" spans="1:4" x14ac:dyDescent="0.25">
      <c r="A26" s="55" t="s">
        <v>101</v>
      </c>
      <c r="B26" s="1" t="s">
        <v>115</v>
      </c>
      <c r="C26" s="1" t="s">
        <v>110</v>
      </c>
      <c r="D26" s="54">
        <v>6.3099999999999997E-7</v>
      </c>
    </row>
    <row r="27" spans="1:4" x14ac:dyDescent="0.25">
      <c r="A27" s="55" t="s">
        <v>102</v>
      </c>
      <c r="B27" s="1" t="s">
        <v>115</v>
      </c>
      <c r="C27" s="1" t="s">
        <v>105</v>
      </c>
      <c r="D27" s="9">
        <v>0.33639999999999998</v>
      </c>
    </row>
    <row r="28" spans="1:4" x14ac:dyDescent="0.25">
      <c r="A28" s="55" t="s">
        <v>102</v>
      </c>
      <c r="B28" s="1" t="s">
        <v>115</v>
      </c>
      <c r="C28" s="1" t="s">
        <v>106</v>
      </c>
      <c r="D28" s="54">
        <v>3.0339999999999998E-3</v>
      </c>
    </row>
    <row r="29" spans="1:4" x14ac:dyDescent="0.25">
      <c r="A29" s="55" t="s">
        <v>102</v>
      </c>
      <c r="B29" s="1" t="s">
        <v>115</v>
      </c>
      <c r="C29" s="1" t="s">
        <v>107</v>
      </c>
      <c r="D29" s="54">
        <v>1.6750000000000001E-4</v>
      </c>
    </row>
    <row r="30" spans="1:4" x14ac:dyDescent="0.25">
      <c r="A30" s="55" t="s">
        <v>102</v>
      </c>
      <c r="B30" s="1" t="s">
        <v>115</v>
      </c>
      <c r="C30" s="1" t="s">
        <v>108</v>
      </c>
      <c r="D30" s="54">
        <v>6.3139999999999995E-5</v>
      </c>
    </row>
    <row r="31" spans="1:4" x14ac:dyDescent="0.25">
      <c r="A31" s="55" t="s">
        <v>102</v>
      </c>
      <c r="B31" s="1" t="s">
        <v>115</v>
      </c>
      <c r="C31" s="1" t="s">
        <v>109</v>
      </c>
      <c r="D31" s="54">
        <v>4.6160000000000004E-6</v>
      </c>
    </row>
    <row r="32" spans="1:4" x14ac:dyDescent="0.25">
      <c r="A32" s="55" t="s">
        <v>102</v>
      </c>
      <c r="B32" s="1" t="s">
        <v>115</v>
      </c>
      <c r="C32" s="1" t="s">
        <v>110</v>
      </c>
      <c r="D32" s="9">
        <v>0.59040000000000004</v>
      </c>
    </row>
    <row r="33" spans="1:4" x14ac:dyDescent="0.25">
      <c r="A33" s="55" t="s">
        <v>97</v>
      </c>
      <c r="B33" s="1" t="s">
        <v>114</v>
      </c>
      <c r="C33" s="1" t="s">
        <v>105</v>
      </c>
      <c r="D33" s="54">
        <v>6.5409999999999999E-3</v>
      </c>
    </row>
    <row r="34" spans="1:4" x14ac:dyDescent="0.25">
      <c r="A34" s="55" t="s">
        <v>97</v>
      </c>
      <c r="B34" s="1" t="s">
        <v>114</v>
      </c>
      <c r="C34" s="1" t="s">
        <v>106</v>
      </c>
      <c r="D34" s="54">
        <v>7.6170000000000003E-4</v>
      </c>
    </row>
    <row r="35" spans="1:4" x14ac:dyDescent="0.25">
      <c r="A35" s="55" t="s">
        <v>97</v>
      </c>
      <c r="B35" s="1" t="s">
        <v>114</v>
      </c>
      <c r="C35" s="1" t="s">
        <v>107</v>
      </c>
      <c r="D35" s="54">
        <v>7.0349999999999996E-3</v>
      </c>
    </row>
    <row r="36" spans="1:4" x14ac:dyDescent="0.25">
      <c r="A36" s="55" t="s">
        <v>97</v>
      </c>
      <c r="B36" s="1" t="s">
        <v>114</v>
      </c>
      <c r="C36" s="1" t="s">
        <v>108</v>
      </c>
      <c r="D36" s="54">
        <v>4.6059999999999998E-7</v>
      </c>
    </row>
    <row r="37" spans="1:4" x14ac:dyDescent="0.25">
      <c r="A37" s="55" t="s">
        <v>97</v>
      </c>
      <c r="B37" s="1" t="s">
        <v>114</v>
      </c>
      <c r="C37" s="1" t="s">
        <v>109</v>
      </c>
      <c r="D37" s="54">
        <v>4.2979999999999997E-2</v>
      </c>
    </row>
    <row r="38" spans="1:4" x14ac:dyDescent="0.25">
      <c r="A38" s="55" t="s">
        <v>97</v>
      </c>
      <c r="B38" s="1" t="s">
        <v>114</v>
      </c>
      <c r="C38" s="1" t="s">
        <v>110</v>
      </c>
      <c r="D38" s="54">
        <v>1.349E-4</v>
      </c>
    </row>
    <row r="39" spans="1:4" x14ac:dyDescent="0.25">
      <c r="A39" s="55" t="s">
        <v>98</v>
      </c>
      <c r="B39" s="1" t="s">
        <v>114</v>
      </c>
      <c r="C39" s="1" t="s">
        <v>105</v>
      </c>
      <c r="D39" s="54">
        <v>2.006E-3</v>
      </c>
    </row>
    <row r="40" spans="1:4" x14ac:dyDescent="0.25">
      <c r="A40" s="55" t="s">
        <v>98</v>
      </c>
      <c r="B40" s="1" t="s">
        <v>114</v>
      </c>
      <c r="C40" s="1" t="s">
        <v>106</v>
      </c>
      <c r="D40" s="54">
        <v>0.97870000000000001</v>
      </c>
    </row>
    <row r="41" spans="1:4" x14ac:dyDescent="0.25">
      <c r="A41" s="55" t="s">
        <v>98</v>
      </c>
      <c r="B41" s="1" t="s">
        <v>114</v>
      </c>
      <c r="C41" s="1" t="s">
        <v>107</v>
      </c>
      <c r="D41" s="54">
        <v>0.10630000000000001</v>
      </c>
    </row>
    <row r="42" spans="1:4" x14ac:dyDescent="0.25">
      <c r="A42" s="55" t="s">
        <v>98</v>
      </c>
      <c r="B42" s="1" t="s">
        <v>114</v>
      </c>
      <c r="C42" s="1" t="s">
        <v>108</v>
      </c>
      <c r="D42" s="54">
        <v>7.5140000000000005E-4</v>
      </c>
    </row>
    <row r="43" spans="1:4" x14ac:dyDescent="0.25">
      <c r="A43" s="55" t="s">
        <v>98</v>
      </c>
      <c r="B43" s="1" t="s">
        <v>114</v>
      </c>
      <c r="C43" s="1" t="s">
        <v>109</v>
      </c>
      <c r="D43" s="9">
        <v>0.32519999999999999</v>
      </c>
    </row>
    <row r="44" spans="1:4" x14ac:dyDescent="0.25">
      <c r="A44" s="55" t="s">
        <v>98</v>
      </c>
      <c r="B44" s="1" t="s">
        <v>114</v>
      </c>
      <c r="C44" s="1" t="s">
        <v>110</v>
      </c>
      <c r="D44" s="54">
        <v>4.7370000000000002E-2</v>
      </c>
    </row>
    <row r="45" spans="1:4" x14ac:dyDescent="0.25">
      <c r="A45" s="55" t="s">
        <v>101</v>
      </c>
      <c r="B45" s="1" t="s">
        <v>114</v>
      </c>
      <c r="C45" s="1" t="s">
        <v>105</v>
      </c>
      <c r="D45" s="54">
        <v>0.17860000000000001</v>
      </c>
    </row>
    <row r="46" spans="1:4" x14ac:dyDescent="0.25">
      <c r="A46" s="55" t="s">
        <v>101</v>
      </c>
      <c r="B46" s="1" t="s">
        <v>114</v>
      </c>
      <c r="C46" s="1" t="s">
        <v>106</v>
      </c>
      <c r="D46" s="9">
        <v>0.9536</v>
      </c>
    </row>
    <row r="47" spans="1:4" x14ac:dyDescent="0.25">
      <c r="A47" s="55" t="s">
        <v>101</v>
      </c>
      <c r="B47" s="1" t="s">
        <v>114</v>
      </c>
      <c r="C47" s="1" t="s">
        <v>107</v>
      </c>
      <c r="D47" s="54">
        <v>0.2273</v>
      </c>
    </row>
    <row r="48" spans="1:4" x14ac:dyDescent="0.25">
      <c r="A48" s="55" t="s">
        <v>101</v>
      </c>
      <c r="B48" s="1" t="s">
        <v>114</v>
      </c>
      <c r="C48" s="1" t="s">
        <v>108</v>
      </c>
      <c r="D48" s="9">
        <v>6.5610000000000002E-2</v>
      </c>
    </row>
    <row r="49" spans="1:4" x14ac:dyDescent="0.25">
      <c r="A49" s="55" t="s">
        <v>101</v>
      </c>
      <c r="B49" s="1" t="s">
        <v>114</v>
      </c>
      <c r="C49" s="1" t="s">
        <v>109</v>
      </c>
      <c r="D49" s="54">
        <v>0.999</v>
      </c>
    </row>
    <row r="50" spans="1:4" x14ac:dyDescent="0.25">
      <c r="A50" s="55" t="s">
        <v>101</v>
      </c>
      <c r="B50" s="1" t="s">
        <v>114</v>
      </c>
      <c r="C50" s="1" t="s">
        <v>110</v>
      </c>
      <c r="D50" s="9">
        <v>8.7379999999999999E-2</v>
      </c>
    </row>
    <row r="51" spans="1:4" x14ac:dyDescent="0.25">
      <c r="A51" s="55" t="s">
        <v>102</v>
      </c>
      <c r="B51" s="1" t="s">
        <v>114</v>
      </c>
      <c r="C51" s="1" t="s">
        <v>105</v>
      </c>
      <c r="D51" s="54">
        <v>0.1016</v>
      </c>
    </row>
    <row r="52" spans="1:4" x14ac:dyDescent="0.25">
      <c r="A52" s="55" t="s">
        <v>102</v>
      </c>
      <c r="B52" s="1" t="s">
        <v>114</v>
      </c>
      <c r="C52" s="1" t="s">
        <v>106</v>
      </c>
      <c r="D52" s="54">
        <v>0.98729999999999996</v>
      </c>
    </row>
    <row r="53" spans="1:4" x14ac:dyDescent="0.25">
      <c r="A53" s="55" t="s">
        <v>102</v>
      </c>
      <c r="B53" s="1" t="s">
        <v>114</v>
      </c>
      <c r="C53" s="1" t="s">
        <v>107</v>
      </c>
      <c r="D53" s="54">
        <v>0.75439999999999996</v>
      </c>
    </row>
    <row r="54" spans="1:4" x14ac:dyDescent="0.25">
      <c r="A54" s="55" t="s">
        <v>102</v>
      </c>
      <c r="B54" s="1" t="s">
        <v>114</v>
      </c>
      <c r="C54" s="1" t="s">
        <v>108</v>
      </c>
      <c r="D54" s="54">
        <v>5.1769999999999997E-2</v>
      </c>
    </row>
    <row r="55" spans="1:4" x14ac:dyDescent="0.25">
      <c r="A55" s="55" t="s">
        <v>102</v>
      </c>
      <c r="B55" s="1" t="s">
        <v>114</v>
      </c>
      <c r="C55" s="1" t="s">
        <v>109</v>
      </c>
      <c r="D55" s="54">
        <v>0.50019999999999998</v>
      </c>
    </row>
    <row r="56" spans="1:4" x14ac:dyDescent="0.25">
      <c r="A56" s="55" t="s">
        <v>102</v>
      </c>
      <c r="B56" s="1" t="s">
        <v>114</v>
      </c>
      <c r="C56" s="1" t="s">
        <v>110</v>
      </c>
      <c r="D56" s="54">
        <v>0.55769999999999997</v>
      </c>
    </row>
    <row r="57" spans="1:4" x14ac:dyDescent="0.25">
      <c r="A57" s="55" t="s">
        <v>97</v>
      </c>
      <c r="B57" s="1" t="s">
        <v>80</v>
      </c>
      <c r="C57" s="1" t="s">
        <v>105</v>
      </c>
      <c r="D57" s="9">
        <v>0.33129999999999998</v>
      </c>
    </row>
    <row r="58" spans="1:4" x14ac:dyDescent="0.25">
      <c r="A58" s="55" t="s">
        <v>97</v>
      </c>
      <c r="B58" s="1" t="s">
        <v>80</v>
      </c>
      <c r="C58" s="1" t="s">
        <v>106</v>
      </c>
      <c r="D58" s="54">
        <v>4.0010000000000002E-3</v>
      </c>
    </row>
    <row r="59" spans="1:4" x14ac:dyDescent="0.25">
      <c r="A59" s="55" t="s">
        <v>97</v>
      </c>
      <c r="B59" s="1" t="s">
        <v>80</v>
      </c>
      <c r="C59" s="1" t="s">
        <v>107</v>
      </c>
      <c r="D59" s="54">
        <v>0.4425</v>
      </c>
    </row>
    <row r="60" spans="1:4" x14ac:dyDescent="0.25">
      <c r="A60" s="55" t="s">
        <v>97</v>
      </c>
      <c r="B60" s="1" t="s">
        <v>80</v>
      </c>
      <c r="C60" s="1" t="s">
        <v>108</v>
      </c>
      <c r="D60" s="54">
        <v>7.9369999999999994E-5</v>
      </c>
    </row>
    <row r="61" spans="1:4" x14ac:dyDescent="0.25">
      <c r="A61" s="55" t="s">
        <v>97</v>
      </c>
      <c r="B61" s="1" t="s">
        <v>80</v>
      </c>
      <c r="C61" s="1" t="s">
        <v>109</v>
      </c>
      <c r="D61" s="54">
        <v>0.99660000000000004</v>
      </c>
    </row>
    <row r="62" spans="1:4" x14ac:dyDescent="0.25">
      <c r="A62" s="55" t="s">
        <v>97</v>
      </c>
      <c r="B62" s="1" t="s">
        <v>80</v>
      </c>
      <c r="C62" s="1" t="s">
        <v>110</v>
      </c>
      <c r="D62" s="54">
        <v>1.2530000000000001E-4</v>
      </c>
    </row>
    <row r="63" spans="1:4" x14ac:dyDescent="0.25">
      <c r="A63" s="55" t="s">
        <v>98</v>
      </c>
      <c r="B63" s="1" t="s">
        <v>80</v>
      </c>
      <c r="C63" s="1" t="s">
        <v>105</v>
      </c>
      <c r="D63" s="54">
        <v>1.295E-2</v>
      </c>
    </row>
    <row r="64" spans="1:4" x14ac:dyDescent="0.25">
      <c r="A64" s="55" t="s">
        <v>98</v>
      </c>
      <c r="B64" s="1" t="s">
        <v>80</v>
      </c>
      <c r="C64" s="1" t="s">
        <v>106</v>
      </c>
      <c r="D64" s="54">
        <v>1.9850000000000001E-5</v>
      </c>
    </row>
    <row r="65" spans="1:5" x14ac:dyDescent="0.25">
      <c r="A65" s="55" t="s">
        <v>98</v>
      </c>
      <c r="B65" s="1" t="s">
        <v>80</v>
      </c>
      <c r="C65" s="1" t="s">
        <v>107</v>
      </c>
      <c r="D65" s="54">
        <v>1.9519999999999999E-2</v>
      </c>
    </row>
    <row r="66" spans="1:5" x14ac:dyDescent="0.25">
      <c r="A66" s="55" t="s">
        <v>98</v>
      </c>
      <c r="B66" s="1" t="s">
        <v>80</v>
      </c>
      <c r="C66" s="1" t="s">
        <v>108</v>
      </c>
      <c r="D66" s="54">
        <v>3.7300000000000003E-11</v>
      </c>
    </row>
    <row r="67" spans="1:5" x14ac:dyDescent="0.25">
      <c r="A67" s="55" t="s">
        <v>98</v>
      </c>
      <c r="B67" s="1" t="s">
        <v>80</v>
      </c>
      <c r="C67" s="1" t="s">
        <v>109</v>
      </c>
      <c r="D67" s="54">
        <v>0.998</v>
      </c>
    </row>
    <row r="68" spans="1:5" x14ac:dyDescent="0.25">
      <c r="A68" s="55" t="s">
        <v>98</v>
      </c>
      <c r="B68" s="1" t="s">
        <v>80</v>
      </c>
      <c r="C68" s="1" t="s">
        <v>110</v>
      </c>
      <c r="D68" s="54">
        <v>5.0339999999999999E-8</v>
      </c>
    </row>
    <row r="69" spans="1:5" x14ac:dyDescent="0.25">
      <c r="A69" s="55" t="s">
        <v>100</v>
      </c>
      <c r="B69" s="1" t="s">
        <v>80</v>
      </c>
      <c r="C69" s="1" t="s">
        <v>105</v>
      </c>
      <c r="D69" s="54">
        <v>5.1070000000000004E-6</v>
      </c>
    </row>
    <row r="70" spans="1:5" x14ac:dyDescent="0.25">
      <c r="A70" s="55" t="s">
        <v>100</v>
      </c>
      <c r="B70" s="1" t="s">
        <v>80</v>
      </c>
      <c r="C70" s="1" t="s">
        <v>106</v>
      </c>
      <c r="D70" s="54">
        <v>7.4150000000000002E-6</v>
      </c>
    </row>
    <row r="71" spans="1:5" x14ac:dyDescent="0.25">
      <c r="A71" s="55" t="s">
        <v>100</v>
      </c>
      <c r="B71" s="1" t="s">
        <v>80</v>
      </c>
      <c r="C71" s="1" t="s">
        <v>107</v>
      </c>
      <c r="D71" s="54">
        <v>1.0939999999999999E-3</v>
      </c>
      <c r="E71" s="56"/>
    </row>
    <row r="72" spans="1:5" x14ac:dyDescent="0.25">
      <c r="A72" s="55" t="s">
        <v>100</v>
      </c>
      <c r="B72" s="1" t="s">
        <v>80</v>
      </c>
      <c r="C72" s="1" t="s">
        <v>108</v>
      </c>
      <c r="D72" s="54">
        <v>2.354E-11</v>
      </c>
    </row>
    <row r="73" spans="1:5" x14ac:dyDescent="0.25">
      <c r="A73" s="55" t="s">
        <v>100</v>
      </c>
      <c r="B73" s="1" t="s">
        <v>80</v>
      </c>
      <c r="C73" s="1" t="s">
        <v>109</v>
      </c>
      <c r="D73" s="9">
        <v>8.5389999999999994E-2</v>
      </c>
    </row>
    <row r="74" spans="1:5" x14ac:dyDescent="0.25">
      <c r="A74" s="55" t="s">
        <v>100</v>
      </c>
      <c r="B74" s="1" t="s">
        <v>80</v>
      </c>
      <c r="C74" s="1" t="s">
        <v>110</v>
      </c>
      <c r="D74" s="54">
        <v>8.2270000000000004E-11</v>
      </c>
    </row>
    <row r="75" spans="1:5" x14ac:dyDescent="0.25">
      <c r="A75" s="55" t="s">
        <v>101</v>
      </c>
      <c r="B75" s="1" t="s">
        <v>80</v>
      </c>
      <c r="C75" s="1" t="s">
        <v>105</v>
      </c>
      <c r="D75" s="54">
        <v>7.416E-10</v>
      </c>
    </row>
    <row r="76" spans="1:5" x14ac:dyDescent="0.25">
      <c r="A76" s="55" t="s">
        <v>101</v>
      </c>
      <c r="B76" s="1" t="s">
        <v>80</v>
      </c>
      <c r="C76" s="1" t="s">
        <v>106</v>
      </c>
      <c r="D76" s="54">
        <v>5.7599999999999999E-6</v>
      </c>
    </row>
    <row r="77" spans="1:5" x14ac:dyDescent="0.25">
      <c r="A77" s="55" t="s">
        <v>101</v>
      </c>
      <c r="B77" s="1" t="s">
        <v>80</v>
      </c>
      <c r="C77" s="1" t="s">
        <v>107</v>
      </c>
      <c r="D77" s="54">
        <v>2.053E-4</v>
      </c>
    </row>
    <row r="78" spans="1:5" x14ac:dyDescent="0.25">
      <c r="A78" s="55" t="s">
        <v>101</v>
      </c>
      <c r="B78" s="1" t="s">
        <v>80</v>
      </c>
      <c r="C78" s="1" t="s">
        <v>108</v>
      </c>
      <c r="D78" s="54">
        <v>2.121E-11</v>
      </c>
    </row>
    <row r="79" spans="1:5" x14ac:dyDescent="0.25">
      <c r="A79" s="55" t="s">
        <v>101</v>
      </c>
      <c r="B79" s="1" t="s">
        <v>80</v>
      </c>
      <c r="C79" s="1" t="s">
        <v>109</v>
      </c>
      <c r="D79" s="54">
        <v>1.9189999999999999E-3</v>
      </c>
    </row>
    <row r="80" spans="1:5" x14ac:dyDescent="0.25">
      <c r="A80" s="55" t="s">
        <v>101</v>
      </c>
      <c r="B80" s="1" t="s">
        <v>80</v>
      </c>
      <c r="C80" s="1" t="s">
        <v>110</v>
      </c>
      <c r="D80" s="54">
        <v>1.448E-9</v>
      </c>
    </row>
    <row r="81" spans="1:4" x14ac:dyDescent="0.25">
      <c r="A81" s="55" t="s">
        <v>102</v>
      </c>
      <c r="B81" s="1" t="s">
        <v>80</v>
      </c>
      <c r="C81" s="1" t="s">
        <v>105</v>
      </c>
      <c r="D81" s="54">
        <v>2.5310000000000001E-11</v>
      </c>
    </row>
    <row r="82" spans="1:4" x14ac:dyDescent="0.25">
      <c r="A82" s="55" t="s">
        <v>102</v>
      </c>
      <c r="B82" s="1" t="s">
        <v>80</v>
      </c>
      <c r="C82" s="1" t="s">
        <v>106</v>
      </c>
      <c r="D82" s="54">
        <v>0.26569999999999999</v>
      </c>
    </row>
    <row r="83" spans="1:4" x14ac:dyDescent="0.25">
      <c r="A83" s="55" t="s">
        <v>102</v>
      </c>
      <c r="B83" s="1" t="s">
        <v>80</v>
      </c>
      <c r="C83" s="1" t="s">
        <v>107</v>
      </c>
      <c r="D83" s="54">
        <v>5.574E-3</v>
      </c>
    </row>
    <row r="84" spans="1:4" x14ac:dyDescent="0.25">
      <c r="A84" s="55" t="s">
        <v>102</v>
      </c>
      <c r="B84" s="1" t="s">
        <v>80</v>
      </c>
      <c r="C84" s="1" t="s">
        <v>108</v>
      </c>
      <c r="D84" s="54">
        <v>2.1430000000000001E-11</v>
      </c>
    </row>
    <row r="85" spans="1:4" x14ac:dyDescent="0.25">
      <c r="A85" s="55" t="s">
        <v>102</v>
      </c>
      <c r="B85" s="1" t="s">
        <v>80</v>
      </c>
      <c r="C85" s="1" t="s">
        <v>109</v>
      </c>
      <c r="D85" s="54">
        <v>5.7229999999999998E-10</v>
      </c>
    </row>
    <row r="86" spans="1:4" x14ac:dyDescent="0.25">
      <c r="A86" s="36" t="s">
        <v>102</v>
      </c>
      <c r="B86" s="4" t="s">
        <v>80</v>
      </c>
      <c r="C86" s="4" t="s">
        <v>110</v>
      </c>
      <c r="D86" s="57">
        <v>5.314E-2</v>
      </c>
    </row>
    <row r="87" spans="1:4" x14ac:dyDescent="0.25">
      <c r="D87" s="56"/>
    </row>
    <row r="89" spans="1:4" x14ac:dyDescent="0.25">
      <c r="D89" s="56"/>
    </row>
    <row r="90" spans="1:4" x14ac:dyDescent="0.25">
      <c r="D90" s="56"/>
    </row>
    <row r="91" spans="1:4" x14ac:dyDescent="0.25">
      <c r="D91" s="56"/>
    </row>
  </sheetData>
  <sortState xmlns:xlrd2="http://schemas.microsoft.com/office/spreadsheetml/2017/richdata2" ref="F3:I86">
    <sortCondition ref="G3:G86"/>
  </sortState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DC456-82AD-4B89-BB35-DBCBFCD8B0AC}">
  <dimension ref="A1:H9"/>
  <sheetViews>
    <sheetView zoomScale="142" workbookViewId="0">
      <selection activeCell="F12" sqref="F12"/>
    </sheetView>
  </sheetViews>
  <sheetFormatPr baseColWidth="10" defaultRowHeight="15" x14ac:dyDescent="0.25"/>
  <cols>
    <col min="1" max="16384" width="11.42578125" style="1"/>
  </cols>
  <sheetData>
    <row r="1" spans="1:8" x14ac:dyDescent="0.25">
      <c r="A1" s="68" t="s">
        <v>104</v>
      </c>
      <c r="B1" s="16" t="s">
        <v>119</v>
      </c>
      <c r="C1" s="16" t="s">
        <v>143</v>
      </c>
      <c r="D1" s="16" t="s">
        <v>137</v>
      </c>
      <c r="E1" s="16" t="s">
        <v>138</v>
      </c>
      <c r="F1" s="16" t="s">
        <v>139</v>
      </c>
      <c r="G1" s="16" t="s">
        <v>140</v>
      </c>
      <c r="H1" s="17" t="s">
        <v>141</v>
      </c>
    </row>
    <row r="2" spans="1:8" x14ac:dyDescent="0.25">
      <c r="A2" s="55" t="s">
        <v>145</v>
      </c>
      <c r="B2" s="1" t="s">
        <v>144</v>
      </c>
      <c r="C2" s="1" t="s">
        <v>146</v>
      </c>
      <c r="D2" s="60">
        <v>0</v>
      </c>
      <c r="E2" s="1">
        <v>773211</v>
      </c>
      <c r="F2" s="1">
        <v>5157</v>
      </c>
      <c r="G2" s="1">
        <v>3183</v>
      </c>
      <c r="H2" s="9">
        <v>1974</v>
      </c>
    </row>
    <row r="3" spans="1:8" x14ac:dyDescent="0.25">
      <c r="A3" s="55" t="s">
        <v>145</v>
      </c>
      <c r="B3" s="1" t="s">
        <v>144</v>
      </c>
      <c r="C3" s="1" t="s">
        <v>147</v>
      </c>
      <c r="D3" s="60">
        <v>0</v>
      </c>
      <c r="E3" s="1">
        <v>4097186</v>
      </c>
      <c r="F3" s="1">
        <v>51689</v>
      </c>
      <c r="G3" s="1">
        <v>29759</v>
      </c>
      <c r="H3" s="9">
        <v>21930</v>
      </c>
    </row>
    <row r="4" spans="1:8" x14ac:dyDescent="0.25">
      <c r="A4" s="55" t="s">
        <v>145</v>
      </c>
      <c r="B4" s="1" t="s">
        <v>144</v>
      </c>
      <c r="C4" s="1" t="s">
        <v>148</v>
      </c>
      <c r="D4" s="60">
        <v>0</v>
      </c>
      <c r="E4" s="1">
        <v>6278338</v>
      </c>
      <c r="F4" s="1">
        <v>92886</v>
      </c>
      <c r="G4" s="1">
        <v>54692</v>
      </c>
      <c r="H4" s="9">
        <v>38194</v>
      </c>
    </row>
    <row r="5" spans="1:8" x14ac:dyDescent="0.25">
      <c r="A5" s="55" t="s">
        <v>145</v>
      </c>
      <c r="B5" s="1" t="s">
        <v>144</v>
      </c>
      <c r="C5" s="1" t="s">
        <v>149</v>
      </c>
      <c r="D5" s="60">
        <v>0</v>
      </c>
      <c r="E5" s="1">
        <v>8025434</v>
      </c>
      <c r="F5" s="1">
        <v>166370</v>
      </c>
      <c r="G5" s="1">
        <v>97878</v>
      </c>
      <c r="H5" s="9">
        <v>68492</v>
      </c>
    </row>
    <row r="6" spans="1:8" x14ac:dyDescent="0.25">
      <c r="A6" s="55" t="s">
        <v>145</v>
      </c>
      <c r="B6" s="1" t="s">
        <v>142</v>
      </c>
      <c r="C6" s="1" t="s">
        <v>146</v>
      </c>
      <c r="D6" s="60">
        <v>0.25</v>
      </c>
      <c r="E6" s="1">
        <v>488949</v>
      </c>
      <c r="F6" s="1">
        <v>8199</v>
      </c>
      <c r="G6" s="1">
        <v>4173</v>
      </c>
      <c r="H6" s="9">
        <v>4026</v>
      </c>
    </row>
    <row r="7" spans="1:8" x14ac:dyDescent="0.25">
      <c r="A7" s="55" t="s">
        <v>145</v>
      </c>
      <c r="B7" s="1" t="s">
        <v>142</v>
      </c>
      <c r="C7" s="1" t="s">
        <v>147</v>
      </c>
      <c r="D7" s="60">
        <v>0.25</v>
      </c>
      <c r="E7" s="1">
        <v>5050795</v>
      </c>
      <c r="F7" s="1">
        <v>92967</v>
      </c>
      <c r="G7" s="1">
        <v>47434</v>
      </c>
      <c r="H7" s="9">
        <v>45533</v>
      </c>
    </row>
    <row r="8" spans="1:8" x14ac:dyDescent="0.25">
      <c r="A8" s="55" t="s">
        <v>145</v>
      </c>
      <c r="B8" s="1" t="s">
        <v>142</v>
      </c>
      <c r="C8" s="1" t="s">
        <v>148</v>
      </c>
      <c r="D8" s="60">
        <v>0.25</v>
      </c>
      <c r="E8" s="1">
        <v>8248624</v>
      </c>
      <c r="F8" s="1">
        <v>304459</v>
      </c>
      <c r="G8" s="1">
        <v>169500</v>
      </c>
      <c r="H8" s="9">
        <v>134959</v>
      </c>
    </row>
    <row r="9" spans="1:8" x14ac:dyDescent="0.25">
      <c r="A9" s="36" t="s">
        <v>145</v>
      </c>
      <c r="B9" s="4" t="s">
        <v>142</v>
      </c>
      <c r="C9" s="4" t="s">
        <v>149</v>
      </c>
      <c r="D9" s="61">
        <v>0.25</v>
      </c>
      <c r="E9" s="4">
        <v>9151902</v>
      </c>
      <c r="F9" s="4">
        <v>344445</v>
      </c>
      <c r="G9" s="4">
        <v>192200</v>
      </c>
      <c r="H9" s="37">
        <v>152245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88B98-E0F9-4A37-A23F-5ABB0CF7A4A3}">
  <dimension ref="A1:E29"/>
  <sheetViews>
    <sheetView workbookViewId="0">
      <selection activeCell="G10" sqref="G10"/>
    </sheetView>
  </sheetViews>
  <sheetFormatPr baseColWidth="10" defaultRowHeight="15" x14ac:dyDescent="0.25"/>
  <cols>
    <col min="1" max="4" width="11.42578125" style="1"/>
    <col min="5" max="5" width="11.42578125" style="1" customWidth="1"/>
    <col min="6" max="16384" width="11.42578125" style="1"/>
  </cols>
  <sheetData>
    <row r="1" spans="1:5" x14ac:dyDescent="0.25">
      <c r="A1" s="23" t="s">
        <v>135</v>
      </c>
      <c r="B1" s="23"/>
      <c r="C1" s="23"/>
      <c r="D1" s="23"/>
      <c r="E1" s="23"/>
    </row>
    <row r="2" spans="1:5" x14ac:dyDescent="0.25">
      <c r="A2" s="68" t="s">
        <v>116</v>
      </c>
      <c r="B2" s="16" t="s">
        <v>117</v>
      </c>
      <c r="C2" s="16" t="s">
        <v>118</v>
      </c>
      <c r="D2" s="16" t="s">
        <v>119</v>
      </c>
      <c r="E2" s="17" t="s">
        <v>120</v>
      </c>
    </row>
    <row r="3" spans="1:5" x14ac:dyDescent="0.25">
      <c r="A3" s="55" t="s">
        <v>126</v>
      </c>
      <c r="B3" s="58">
        <v>95479</v>
      </c>
      <c r="C3" s="62" t="s">
        <v>127</v>
      </c>
      <c r="D3" s="62" t="s">
        <v>132</v>
      </c>
      <c r="E3" s="63">
        <v>2.92</v>
      </c>
    </row>
    <row r="4" spans="1:5" x14ac:dyDescent="0.25">
      <c r="A4" s="55" t="s">
        <v>128</v>
      </c>
      <c r="B4" s="5">
        <v>473487</v>
      </c>
      <c r="C4" s="1" t="s">
        <v>127</v>
      </c>
      <c r="D4" s="1" t="s">
        <v>132</v>
      </c>
      <c r="E4" s="9">
        <v>13.89</v>
      </c>
    </row>
    <row r="5" spans="1:5" x14ac:dyDescent="0.25">
      <c r="A5" s="55" t="s">
        <v>129</v>
      </c>
      <c r="B5" s="5">
        <v>362325</v>
      </c>
      <c r="C5" s="1" t="s">
        <v>127</v>
      </c>
      <c r="D5" s="1" t="s">
        <v>132</v>
      </c>
      <c r="E5" s="9">
        <v>10.52</v>
      </c>
    </row>
    <row r="6" spans="1:5" x14ac:dyDescent="0.25">
      <c r="A6" s="55" t="s">
        <v>130</v>
      </c>
      <c r="B6" s="5">
        <v>2507116</v>
      </c>
      <c r="C6" s="1" t="s">
        <v>127</v>
      </c>
      <c r="D6" s="1" t="s">
        <v>132</v>
      </c>
      <c r="E6" s="9">
        <v>72.650000000000006</v>
      </c>
    </row>
    <row r="7" spans="1:5" x14ac:dyDescent="0.25">
      <c r="A7" s="55" t="s">
        <v>126</v>
      </c>
      <c r="B7" s="5">
        <v>363613</v>
      </c>
      <c r="C7" s="1" t="s">
        <v>127</v>
      </c>
      <c r="D7" s="1" t="s">
        <v>133</v>
      </c>
      <c r="E7" s="9">
        <v>4.75</v>
      </c>
    </row>
    <row r="8" spans="1:5" x14ac:dyDescent="0.25">
      <c r="A8" s="55" t="s">
        <v>128</v>
      </c>
      <c r="B8" s="5">
        <v>1122158</v>
      </c>
      <c r="C8" s="1" t="s">
        <v>127</v>
      </c>
      <c r="D8" s="1" t="s">
        <v>133</v>
      </c>
      <c r="E8" s="9">
        <v>14.35</v>
      </c>
    </row>
    <row r="9" spans="1:5" x14ac:dyDescent="0.25">
      <c r="A9" s="55" t="s">
        <v>129</v>
      </c>
      <c r="B9" s="5">
        <v>789988</v>
      </c>
      <c r="C9" s="1" t="s">
        <v>127</v>
      </c>
      <c r="D9" s="1" t="s">
        <v>133</v>
      </c>
      <c r="E9" s="9">
        <v>10.050000000000001</v>
      </c>
    </row>
    <row r="10" spans="1:5" x14ac:dyDescent="0.25">
      <c r="A10" s="55" t="s">
        <v>130</v>
      </c>
      <c r="B10" s="5">
        <v>5578527</v>
      </c>
      <c r="C10" s="1" t="s">
        <v>127</v>
      </c>
      <c r="D10" s="1" t="s">
        <v>133</v>
      </c>
      <c r="E10" s="9">
        <v>70.84</v>
      </c>
    </row>
    <row r="11" spans="1:5" x14ac:dyDescent="0.25">
      <c r="A11" s="55" t="s">
        <v>126</v>
      </c>
      <c r="B11" s="5">
        <v>230809</v>
      </c>
      <c r="C11" s="1" t="s">
        <v>127</v>
      </c>
      <c r="D11" s="1" t="s">
        <v>134</v>
      </c>
      <c r="E11" s="9">
        <v>3.67</v>
      </c>
    </row>
    <row r="12" spans="1:5" x14ac:dyDescent="0.25">
      <c r="A12" s="55" t="s">
        <v>128</v>
      </c>
      <c r="B12" s="5">
        <v>863262</v>
      </c>
      <c r="C12" s="1" t="s">
        <v>127</v>
      </c>
      <c r="D12" s="1" t="s">
        <v>134</v>
      </c>
      <c r="E12" s="9">
        <v>13.74</v>
      </c>
    </row>
    <row r="13" spans="1:5" x14ac:dyDescent="0.25">
      <c r="A13" s="55" t="s">
        <v>129</v>
      </c>
      <c r="B13" s="5">
        <v>632804</v>
      </c>
      <c r="C13" s="1" t="s">
        <v>127</v>
      </c>
      <c r="D13" s="1" t="s">
        <v>134</v>
      </c>
      <c r="E13" s="9">
        <v>10.07</v>
      </c>
    </row>
    <row r="14" spans="1:5" x14ac:dyDescent="0.25">
      <c r="A14" s="55" t="s">
        <v>130</v>
      </c>
      <c r="B14" s="5">
        <v>4551463</v>
      </c>
      <c r="C14" s="1" t="s">
        <v>127</v>
      </c>
      <c r="D14" s="1" t="s">
        <v>134</v>
      </c>
      <c r="E14" s="9">
        <v>72.489999999999995</v>
      </c>
    </row>
    <row r="15" spans="1:5" x14ac:dyDescent="0.25">
      <c r="A15" s="55" t="s">
        <v>121</v>
      </c>
      <c r="B15" s="5">
        <v>132003</v>
      </c>
      <c r="C15" s="1" t="s">
        <v>131</v>
      </c>
      <c r="D15" s="1" t="s">
        <v>132</v>
      </c>
      <c r="E15" s="9">
        <v>3.89</v>
      </c>
    </row>
    <row r="16" spans="1:5" x14ac:dyDescent="0.25">
      <c r="A16" s="55" t="s">
        <v>122</v>
      </c>
      <c r="B16" s="5">
        <v>26467</v>
      </c>
      <c r="C16" s="1" t="s">
        <v>131</v>
      </c>
      <c r="D16" s="1" t="s">
        <v>132</v>
      </c>
      <c r="E16" s="9">
        <v>0.82</v>
      </c>
    </row>
    <row r="17" spans="1:5" x14ac:dyDescent="0.25">
      <c r="A17" s="55" t="s">
        <v>123</v>
      </c>
      <c r="B17" s="5">
        <v>234849</v>
      </c>
      <c r="C17" s="1" t="s">
        <v>131</v>
      </c>
      <c r="D17" s="1" t="s">
        <v>132</v>
      </c>
      <c r="E17" s="9">
        <v>7.03</v>
      </c>
    </row>
    <row r="18" spans="1:5" x14ac:dyDescent="0.25">
      <c r="A18" s="55" t="s">
        <v>124</v>
      </c>
      <c r="B18" s="5">
        <v>706452</v>
      </c>
      <c r="C18" s="1" t="s">
        <v>131</v>
      </c>
      <c r="D18" s="1" t="s">
        <v>132</v>
      </c>
      <c r="E18" s="9">
        <v>20.54</v>
      </c>
    </row>
    <row r="19" spans="1:5" x14ac:dyDescent="0.25">
      <c r="A19" s="55" t="s">
        <v>125</v>
      </c>
      <c r="B19" s="5">
        <v>2338636</v>
      </c>
      <c r="C19" s="1" t="s">
        <v>131</v>
      </c>
      <c r="D19" s="1" t="s">
        <v>132</v>
      </c>
      <c r="E19" s="9">
        <v>67.69</v>
      </c>
    </row>
    <row r="20" spans="1:5" x14ac:dyDescent="0.25">
      <c r="A20" s="55" t="s">
        <v>121</v>
      </c>
      <c r="B20" s="5">
        <v>360106</v>
      </c>
      <c r="C20" s="1" t="s">
        <v>131</v>
      </c>
      <c r="D20" s="1" t="s">
        <v>133</v>
      </c>
      <c r="E20" s="9">
        <v>4.62</v>
      </c>
    </row>
    <row r="21" spans="1:5" x14ac:dyDescent="0.25">
      <c r="A21" s="55" t="s">
        <v>122</v>
      </c>
      <c r="B21" s="5">
        <v>127691</v>
      </c>
      <c r="C21" s="1" t="s">
        <v>131</v>
      </c>
      <c r="D21" s="1" t="s">
        <v>133</v>
      </c>
      <c r="E21" s="9">
        <v>1.67</v>
      </c>
    </row>
    <row r="22" spans="1:5" x14ac:dyDescent="0.25">
      <c r="A22" s="55" t="s">
        <v>123</v>
      </c>
      <c r="B22" s="5">
        <v>647652</v>
      </c>
      <c r="C22" s="1" t="s">
        <v>131</v>
      </c>
      <c r="D22" s="1" t="s">
        <v>133</v>
      </c>
      <c r="E22" s="9">
        <v>8.25</v>
      </c>
    </row>
    <row r="23" spans="1:5" x14ac:dyDescent="0.25">
      <c r="A23" s="55" t="s">
        <v>124</v>
      </c>
      <c r="B23" s="5">
        <v>1623481</v>
      </c>
      <c r="C23" s="1" t="s">
        <v>131</v>
      </c>
      <c r="D23" s="1" t="s">
        <v>133</v>
      </c>
      <c r="E23" s="9">
        <v>20.64</v>
      </c>
    </row>
    <row r="24" spans="1:5" x14ac:dyDescent="0.25">
      <c r="A24" s="55" t="s">
        <v>125</v>
      </c>
      <c r="B24" s="5">
        <v>5095356</v>
      </c>
      <c r="C24" s="1" t="s">
        <v>131</v>
      </c>
      <c r="D24" s="1" t="s">
        <v>133</v>
      </c>
      <c r="E24" s="9">
        <v>64.8</v>
      </c>
    </row>
    <row r="25" spans="1:5" x14ac:dyDescent="0.25">
      <c r="A25" s="55" t="s">
        <v>121</v>
      </c>
      <c r="B25" s="5">
        <v>266843</v>
      </c>
      <c r="C25" s="1" t="s">
        <v>131</v>
      </c>
      <c r="D25" s="1" t="s">
        <v>134</v>
      </c>
      <c r="E25" s="9">
        <v>4.25</v>
      </c>
    </row>
    <row r="26" spans="1:5" x14ac:dyDescent="0.25">
      <c r="A26" s="55" t="s">
        <v>122</v>
      </c>
      <c r="B26" s="5">
        <v>78299</v>
      </c>
      <c r="C26" s="1" t="s">
        <v>131</v>
      </c>
      <c r="D26" s="1" t="s">
        <v>134</v>
      </c>
      <c r="E26" s="9">
        <v>1.24</v>
      </c>
    </row>
    <row r="27" spans="1:5" x14ac:dyDescent="0.25">
      <c r="A27" s="55" t="s">
        <v>123</v>
      </c>
      <c r="B27" s="5">
        <v>496127</v>
      </c>
      <c r="C27" s="1" t="s">
        <v>131</v>
      </c>
      <c r="D27" s="1" t="s">
        <v>134</v>
      </c>
      <c r="E27" s="9">
        <v>7.9</v>
      </c>
    </row>
    <row r="28" spans="1:5" x14ac:dyDescent="0.25">
      <c r="A28" s="55" t="s">
        <v>124</v>
      </c>
      <c r="B28" s="5">
        <v>1315136</v>
      </c>
      <c r="C28" s="1" t="s">
        <v>131</v>
      </c>
      <c r="D28" s="1" t="s">
        <v>134</v>
      </c>
      <c r="E28" s="9">
        <v>20.94</v>
      </c>
    </row>
    <row r="29" spans="1:5" x14ac:dyDescent="0.25">
      <c r="A29" s="36" t="s">
        <v>125</v>
      </c>
      <c r="B29" s="59">
        <v>4121933</v>
      </c>
      <c r="C29" s="4" t="s">
        <v>131</v>
      </c>
      <c r="D29" s="4" t="s">
        <v>134</v>
      </c>
      <c r="E29" s="37">
        <v>65.650000000000006</v>
      </c>
    </row>
  </sheetData>
  <sortState xmlns:xlrd2="http://schemas.microsoft.com/office/spreadsheetml/2017/richdata2" ref="H3:M29">
    <sortCondition ref="J3:J29"/>
  </sortState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3D6C9-0666-4A92-99D1-EFEFF39AF435}">
  <dimension ref="A1:E29"/>
  <sheetViews>
    <sheetView tabSelected="1" zoomScale="96" workbookViewId="0">
      <selection activeCell="G14" sqref="G14"/>
    </sheetView>
  </sheetViews>
  <sheetFormatPr baseColWidth="10" defaultRowHeight="15" x14ac:dyDescent="0.25"/>
  <cols>
    <col min="1" max="16384" width="11.42578125" style="1"/>
  </cols>
  <sheetData>
    <row r="1" spans="1:5" x14ac:dyDescent="0.25">
      <c r="A1" s="18" t="s">
        <v>136</v>
      </c>
      <c r="B1" s="19"/>
      <c r="C1" s="19"/>
      <c r="D1" s="19"/>
      <c r="E1" s="20"/>
    </row>
    <row r="2" spans="1:5" x14ac:dyDescent="0.25">
      <c r="A2" s="68" t="s">
        <v>116</v>
      </c>
      <c r="B2" s="16" t="s">
        <v>117</v>
      </c>
      <c r="C2" s="16" t="s">
        <v>118</v>
      </c>
      <c r="D2" s="16" t="s">
        <v>119</v>
      </c>
      <c r="E2" s="17" t="s">
        <v>120</v>
      </c>
    </row>
    <row r="3" spans="1:5" x14ac:dyDescent="0.25">
      <c r="A3" s="55" t="s">
        <v>126</v>
      </c>
      <c r="B3" s="1">
        <v>374517</v>
      </c>
      <c r="C3" s="1" t="s">
        <v>127</v>
      </c>
      <c r="D3" s="62" t="s">
        <v>132</v>
      </c>
      <c r="E3" s="9">
        <v>7.41</v>
      </c>
    </row>
    <row r="4" spans="1:5" x14ac:dyDescent="0.25">
      <c r="A4" s="55" t="s">
        <v>128</v>
      </c>
      <c r="B4" s="1">
        <v>779358</v>
      </c>
      <c r="C4" s="1" t="s">
        <v>127</v>
      </c>
      <c r="D4" s="1" t="s">
        <v>132</v>
      </c>
      <c r="E4" s="9">
        <v>15.43</v>
      </c>
    </row>
    <row r="5" spans="1:5" x14ac:dyDescent="0.25">
      <c r="A5" s="55" t="s">
        <v>129</v>
      </c>
      <c r="B5" s="1">
        <v>512752</v>
      </c>
      <c r="C5" s="1" t="s">
        <v>127</v>
      </c>
      <c r="D5" s="1" t="s">
        <v>132</v>
      </c>
      <c r="E5" s="9">
        <v>10.15</v>
      </c>
    </row>
    <row r="6" spans="1:5" x14ac:dyDescent="0.25">
      <c r="A6" s="55" t="s">
        <v>130</v>
      </c>
      <c r="B6" s="1">
        <v>3384168</v>
      </c>
      <c r="C6" s="1" t="s">
        <v>127</v>
      </c>
      <c r="D6" s="1" t="s">
        <v>132</v>
      </c>
      <c r="E6" s="9">
        <v>67</v>
      </c>
    </row>
    <row r="7" spans="1:5" x14ac:dyDescent="0.25">
      <c r="A7" s="55" t="s">
        <v>126</v>
      </c>
      <c r="B7" s="1">
        <v>523792</v>
      </c>
      <c r="C7" s="1" t="s">
        <v>127</v>
      </c>
      <c r="D7" s="1" t="s">
        <v>133</v>
      </c>
      <c r="E7" s="9">
        <v>5.72</v>
      </c>
    </row>
    <row r="8" spans="1:5" x14ac:dyDescent="0.25">
      <c r="A8" s="55" t="s">
        <v>128</v>
      </c>
      <c r="B8" s="1">
        <v>1411289</v>
      </c>
      <c r="C8" s="1" t="s">
        <v>127</v>
      </c>
      <c r="D8" s="1" t="s">
        <v>133</v>
      </c>
      <c r="E8" s="9">
        <v>15.42</v>
      </c>
    </row>
    <row r="9" spans="1:5" x14ac:dyDescent="0.25">
      <c r="A9" s="55" t="s">
        <v>129</v>
      </c>
      <c r="B9" s="1">
        <v>947190</v>
      </c>
      <c r="C9" s="1" t="s">
        <v>127</v>
      </c>
      <c r="D9" s="1" t="s">
        <v>133</v>
      </c>
      <c r="E9" s="9">
        <v>10.34</v>
      </c>
    </row>
    <row r="10" spans="1:5" x14ac:dyDescent="0.25">
      <c r="A10" s="55" t="s">
        <v>130</v>
      </c>
      <c r="B10" s="1">
        <v>6269631</v>
      </c>
      <c r="C10" s="1" t="s">
        <v>127</v>
      </c>
      <c r="D10" s="1" t="s">
        <v>133</v>
      </c>
      <c r="E10" s="9">
        <v>68.5</v>
      </c>
    </row>
    <row r="11" spans="1:5" x14ac:dyDescent="0.25">
      <c r="A11" s="55" t="s">
        <v>126</v>
      </c>
      <c r="B11" s="1">
        <v>495315</v>
      </c>
      <c r="C11" s="1" t="s">
        <v>127</v>
      </c>
      <c r="D11" s="1" t="s">
        <v>134</v>
      </c>
      <c r="E11" s="9">
        <v>6</v>
      </c>
    </row>
    <row r="12" spans="1:5" x14ac:dyDescent="0.25">
      <c r="A12" s="55" t="s">
        <v>128</v>
      </c>
      <c r="B12" s="1">
        <v>1257934</v>
      </c>
      <c r="C12" s="1" t="s">
        <v>127</v>
      </c>
      <c r="D12" s="1" t="s">
        <v>134</v>
      </c>
      <c r="E12" s="9">
        <v>15.25</v>
      </c>
    </row>
    <row r="13" spans="1:5" x14ac:dyDescent="0.25">
      <c r="A13" s="55" t="s">
        <v>129</v>
      </c>
      <c r="B13" s="1">
        <v>846560</v>
      </c>
      <c r="C13" s="1" t="s">
        <v>127</v>
      </c>
      <c r="D13" s="1" t="s">
        <v>134</v>
      </c>
      <c r="E13" s="9">
        <v>10.26</v>
      </c>
    </row>
    <row r="14" spans="1:5" x14ac:dyDescent="0.25">
      <c r="A14" s="55" t="s">
        <v>130</v>
      </c>
      <c r="B14" s="1">
        <v>5648815</v>
      </c>
      <c r="C14" s="1" t="s">
        <v>127</v>
      </c>
      <c r="D14" s="1" t="s">
        <v>134</v>
      </c>
      <c r="E14" s="9">
        <v>68.48</v>
      </c>
    </row>
    <row r="15" spans="1:5" x14ac:dyDescent="0.25">
      <c r="A15" s="55" t="s">
        <v>121</v>
      </c>
      <c r="B15" s="1">
        <v>232760</v>
      </c>
      <c r="C15" s="1" t="s">
        <v>131</v>
      </c>
      <c r="D15" s="1" t="s">
        <v>132</v>
      </c>
      <c r="E15" s="9">
        <v>4.5999999999999996</v>
      </c>
    </row>
    <row r="16" spans="1:5" x14ac:dyDescent="0.25">
      <c r="A16" s="55" t="s">
        <v>122</v>
      </c>
      <c r="B16" s="1">
        <v>115314</v>
      </c>
      <c r="C16" s="1" t="s">
        <v>131</v>
      </c>
      <c r="D16" s="1" t="s">
        <v>132</v>
      </c>
      <c r="E16" s="9">
        <v>2.2799999999999998</v>
      </c>
    </row>
    <row r="17" spans="1:5" x14ac:dyDescent="0.25">
      <c r="A17" s="55" t="s">
        <v>123</v>
      </c>
      <c r="B17" s="1">
        <v>532046</v>
      </c>
      <c r="C17" s="1" t="s">
        <v>131</v>
      </c>
      <c r="D17" s="1" t="s">
        <v>132</v>
      </c>
      <c r="E17" s="9">
        <v>10.53</v>
      </c>
    </row>
    <row r="18" spans="1:5" x14ac:dyDescent="0.25">
      <c r="A18" s="55" t="s">
        <v>124</v>
      </c>
      <c r="B18" s="1">
        <v>939075</v>
      </c>
      <c r="C18" s="1" t="s">
        <v>131</v>
      </c>
      <c r="D18" s="1" t="s">
        <v>132</v>
      </c>
      <c r="E18" s="9">
        <v>18.59</v>
      </c>
    </row>
    <row r="19" spans="1:5" x14ac:dyDescent="0.25">
      <c r="A19" s="55" t="s">
        <v>125</v>
      </c>
      <c r="B19" s="1">
        <v>3231600</v>
      </c>
      <c r="C19" s="1" t="s">
        <v>131</v>
      </c>
      <c r="D19" s="1" t="s">
        <v>132</v>
      </c>
      <c r="E19" s="9">
        <v>63.98</v>
      </c>
    </row>
    <row r="20" spans="1:5" x14ac:dyDescent="0.25">
      <c r="A20" s="55" t="s">
        <v>121</v>
      </c>
      <c r="B20" s="1">
        <v>444452</v>
      </c>
      <c r="C20" s="1" t="s">
        <v>131</v>
      </c>
      <c r="D20" s="1" t="s">
        <v>133</v>
      </c>
      <c r="E20" s="9">
        <v>4.8499999999999996</v>
      </c>
    </row>
    <row r="21" spans="1:5" x14ac:dyDescent="0.25">
      <c r="A21" s="55" t="s">
        <v>122</v>
      </c>
      <c r="B21" s="1">
        <v>175545</v>
      </c>
      <c r="C21" s="1" t="s">
        <v>131</v>
      </c>
      <c r="D21" s="1" t="s">
        <v>133</v>
      </c>
      <c r="E21" s="9">
        <v>1.91</v>
      </c>
    </row>
    <row r="22" spans="1:5" x14ac:dyDescent="0.25">
      <c r="A22" s="55" t="s">
        <v>123</v>
      </c>
      <c r="B22" s="1">
        <v>755063</v>
      </c>
      <c r="C22" s="1" t="s">
        <v>131</v>
      </c>
      <c r="D22" s="1" t="s">
        <v>133</v>
      </c>
      <c r="E22" s="9">
        <v>8.25</v>
      </c>
    </row>
    <row r="23" spans="1:5" x14ac:dyDescent="0.25">
      <c r="A23" s="55" t="s">
        <v>124</v>
      </c>
      <c r="B23" s="1">
        <v>1813773</v>
      </c>
      <c r="C23" s="1" t="s">
        <v>131</v>
      </c>
      <c r="D23" s="1" t="s">
        <v>133</v>
      </c>
      <c r="E23" s="9">
        <v>19.809999999999999</v>
      </c>
    </row>
    <row r="24" spans="1:5" x14ac:dyDescent="0.25">
      <c r="A24" s="55" t="s">
        <v>125</v>
      </c>
      <c r="B24" s="1">
        <v>5963069</v>
      </c>
      <c r="C24" s="1" t="s">
        <v>131</v>
      </c>
      <c r="D24" s="1" t="s">
        <v>133</v>
      </c>
      <c r="E24" s="9">
        <v>65.150000000000006</v>
      </c>
    </row>
    <row r="25" spans="1:5" x14ac:dyDescent="0.25">
      <c r="A25" s="55" t="s">
        <v>121</v>
      </c>
      <c r="B25" s="1">
        <v>390663</v>
      </c>
      <c r="C25" s="1" t="s">
        <v>131</v>
      </c>
      <c r="D25" s="1" t="s">
        <v>134</v>
      </c>
      <c r="E25" s="9">
        <v>4.7300000000000004</v>
      </c>
    </row>
    <row r="26" spans="1:5" x14ac:dyDescent="0.25">
      <c r="A26" s="55" t="s">
        <v>122</v>
      </c>
      <c r="B26" s="1">
        <v>164564</v>
      </c>
      <c r="C26" s="1" t="s">
        <v>131</v>
      </c>
      <c r="D26" s="1" t="s">
        <v>134</v>
      </c>
      <c r="E26" s="9">
        <v>1.99</v>
      </c>
    </row>
    <row r="27" spans="1:5" x14ac:dyDescent="0.25">
      <c r="A27" s="55" t="s">
        <v>123</v>
      </c>
      <c r="B27" s="1">
        <v>724311</v>
      </c>
      <c r="C27" s="1" t="s">
        <v>131</v>
      </c>
      <c r="D27" s="1" t="s">
        <v>134</v>
      </c>
      <c r="E27" s="9">
        <v>8.7799999999999994</v>
      </c>
    </row>
    <row r="28" spans="1:5" x14ac:dyDescent="0.25">
      <c r="A28" s="55" t="s">
        <v>124</v>
      </c>
      <c r="B28" s="1">
        <v>1619040</v>
      </c>
      <c r="C28" s="1" t="s">
        <v>131</v>
      </c>
      <c r="D28" s="1" t="s">
        <v>134</v>
      </c>
      <c r="E28" s="9">
        <v>19.62</v>
      </c>
    </row>
    <row r="29" spans="1:5" x14ac:dyDescent="0.25">
      <c r="A29" s="36" t="s">
        <v>125</v>
      </c>
      <c r="B29" s="4">
        <v>5350046</v>
      </c>
      <c r="C29" s="4" t="s">
        <v>131</v>
      </c>
      <c r="D29" s="4" t="s">
        <v>134</v>
      </c>
      <c r="E29" s="37">
        <v>64.849999999999994</v>
      </c>
    </row>
  </sheetData>
  <sortState xmlns:xlrd2="http://schemas.microsoft.com/office/spreadsheetml/2017/richdata2" ref="G3:L29">
    <sortCondition ref="I3:I29"/>
  </sortState>
  <mergeCells count="1">
    <mergeCell ref="A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4355A1-2EA9-41B8-B4F1-3B31C8B1B3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Supplementary Table 1</vt:lpstr>
      <vt:lpstr>Supplementary Table 2</vt:lpstr>
      <vt:lpstr>Supplementary Table 3</vt:lpstr>
      <vt:lpstr>Supplementary Table 4</vt:lpstr>
      <vt:lpstr>Supplementary Table 5</vt:lpstr>
      <vt:lpstr>Supplementary Table 6</vt:lpstr>
      <vt:lpstr>Supplmentary Table 7</vt:lpstr>
      <vt:lpstr>Supplmentary Table 8</vt:lpstr>
    </vt:vector>
  </TitlesOfParts>
  <Company>Luffi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GUTIERREZ RODRIGUEZ</dc:creator>
  <cp:lastModifiedBy>Álvaro Gutiérrez Rodríguez</cp:lastModifiedBy>
  <dcterms:created xsi:type="dcterms:W3CDTF">2026-05-29T08:41:51Z</dcterms:created>
  <dcterms:modified xsi:type="dcterms:W3CDTF">2026-09-30T09:56:56Z</dcterms:modified>
</cp:coreProperties>
</file>